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1325" activeTab="6"/>
  </bookViews>
  <sheets>
    <sheet name="Original_data" sheetId="1" r:id="rId1"/>
    <sheet name="Cleaned_Data" sheetId="3" r:id="rId2"/>
    <sheet name="Dummy_Variables" sheetId="11" r:id="rId3"/>
    <sheet name="Simple_Regression_output" sheetId="17" r:id="rId4"/>
    <sheet name="Multiple_regression" sheetId="24" r:id="rId5"/>
    <sheet name="Predictions_Residuals" sheetId="8" r:id="rId6"/>
    <sheet name="regression_summary" sheetId="9" r:id="rId7"/>
  </sheets>
  <calcPr calcId="144525"/>
</workbook>
</file>

<file path=xl/calcChain.xml><?xml version="1.0" encoding="utf-8"?>
<calcChain xmlns="http://schemas.openxmlformats.org/spreadsheetml/2006/main">
  <c r="C321" i="11" l="1"/>
  <c r="B321" i="11"/>
  <c r="A321" i="11"/>
  <c r="C320" i="11"/>
  <c r="B320" i="11"/>
  <c r="A320" i="11"/>
  <c r="C319" i="11"/>
  <c r="B319" i="11"/>
  <c r="A319" i="11"/>
  <c r="C318" i="11"/>
  <c r="B318" i="11"/>
  <c r="A318" i="11"/>
  <c r="C317" i="11"/>
  <c r="B317" i="11"/>
  <c r="A317" i="11"/>
  <c r="C316" i="11"/>
  <c r="B316" i="11"/>
  <c r="A316" i="11"/>
  <c r="C315" i="11"/>
  <c r="B315" i="11"/>
  <c r="A315" i="11"/>
  <c r="C314" i="11"/>
  <c r="B314" i="11"/>
  <c r="A314" i="11"/>
  <c r="C313" i="11"/>
  <c r="B313" i="11"/>
  <c r="A313" i="11"/>
  <c r="C312" i="11"/>
  <c r="B312" i="11"/>
  <c r="A312" i="11"/>
  <c r="C311" i="11"/>
  <c r="B311" i="11"/>
  <c r="A311" i="11"/>
  <c r="C310" i="11"/>
  <c r="B310" i="11"/>
  <c r="A310" i="11"/>
  <c r="C309" i="11"/>
  <c r="B309" i="11"/>
  <c r="A309" i="11"/>
  <c r="C308" i="11"/>
  <c r="B308" i="11"/>
  <c r="A308" i="11"/>
  <c r="C307" i="11"/>
  <c r="B307" i="11"/>
  <c r="A307" i="11"/>
  <c r="C306" i="11"/>
  <c r="B306" i="11"/>
  <c r="A306" i="11"/>
  <c r="C305" i="11"/>
  <c r="B305" i="11"/>
  <c r="A305" i="11"/>
  <c r="C304" i="11"/>
  <c r="B304" i="11"/>
  <c r="A304" i="11"/>
  <c r="C303" i="11"/>
  <c r="B303" i="11"/>
  <c r="A303" i="11"/>
  <c r="C302" i="11"/>
  <c r="B302" i="11"/>
  <c r="A302" i="11"/>
  <c r="C301" i="11"/>
  <c r="B301" i="11"/>
  <c r="A301" i="11"/>
  <c r="C300" i="11"/>
  <c r="B300" i="11"/>
  <c r="A300" i="11"/>
  <c r="C299" i="11"/>
  <c r="B299" i="11"/>
  <c r="A299" i="11"/>
  <c r="C298" i="11"/>
  <c r="B298" i="11"/>
  <c r="A298" i="11"/>
  <c r="C297" i="11"/>
  <c r="B297" i="11"/>
  <c r="A297" i="11"/>
  <c r="C296" i="11"/>
  <c r="B296" i="11"/>
  <c r="A296" i="11"/>
  <c r="C295" i="11"/>
  <c r="B295" i="11"/>
  <c r="A295" i="11"/>
  <c r="C294" i="11"/>
  <c r="B294" i="11"/>
  <c r="A294" i="11"/>
  <c r="C293" i="11"/>
  <c r="B293" i="11"/>
  <c r="A293" i="11"/>
  <c r="C292" i="11"/>
  <c r="B292" i="11"/>
  <c r="A292" i="11"/>
  <c r="C291" i="11"/>
  <c r="B291" i="11"/>
  <c r="A291" i="11"/>
  <c r="C290" i="11"/>
  <c r="B290" i="11"/>
  <c r="A290" i="11"/>
  <c r="C289" i="11"/>
  <c r="B289" i="11"/>
  <c r="A289" i="11"/>
  <c r="C288" i="11"/>
  <c r="B288" i="11"/>
  <c r="A288" i="11"/>
  <c r="C287" i="11"/>
  <c r="B287" i="11"/>
  <c r="A287" i="11"/>
  <c r="C286" i="11"/>
  <c r="B286" i="11"/>
  <c r="A286" i="11"/>
  <c r="C285" i="11"/>
  <c r="B285" i="11"/>
  <c r="A285" i="11"/>
  <c r="C284" i="11"/>
  <c r="B284" i="11"/>
  <c r="A284" i="11"/>
  <c r="C283" i="11"/>
  <c r="B283" i="11"/>
  <c r="A283" i="11"/>
  <c r="C282" i="11"/>
  <c r="B282" i="11"/>
  <c r="A282" i="11"/>
  <c r="C281" i="11"/>
  <c r="B281" i="11"/>
  <c r="A281" i="11"/>
  <c r="C280" i="11"/>
  <c r="B280" i="11"/>
  <c r="A280" i="11"/>
  <c r="C279" i="11"/>
  <c r="B279" i="11"/>
  <c r="A279" i="11"/>
  <c r="C278" i="11"/>
  <c r="B278" i="11"/>
  <c r="A278" i="11"/>
  <c r="C277" i="11"/>
  <c r="B277" i="11"/>
  <c r="A277" i="11"/>
  <c r="C276" i="11"/>
  <c r="B276" i="11"/>
  <c r="A276" i="11"/>
  <c r="C275" i="11"/>
  <c r="B275" i="11"/>
  <c r="A275" i="11"/>
  <c r="C274" i="11"/>
  <c r="B274" i="11"/>
  <c r="A274" i="11"/>
  <c r="C273" i="11"/>
  <c r="B273" i="11"/>
  <c r="A273" i="11"/>
  <c r="C272" i="11"/>
  <c r="B272" i="11"/>
  <c r="A272" i="11"/>
  <c r="C271" i="11"/>
  <c r="B271" i="11"/>
  <c r="A271" i="11"/>
  <c r="C270" i="11"/>
  <c r="B270" i="11"/>
  <c r="A270" i="11"/>
  <c r="C269" i="11"/>
  <c r="B269" i="11"/>
  <c r="A269" i="11"/>
  <c r="C268" i="11"/>
  <c r="B268" i="11"/>
  <c r="A268" i="11"/>
  <c r="C267" i="11"/>
  <c r="B267" i="11"/>
  <c r="A267" i="11"/>
  <c r="C266" i="11"/>
  <c r="B266" i="11"/>
  <c r="A266" i="11"/>
  <c r="C265" i="11"/>
  <c r="B265" i="11"/>
  <c r="A265" i="11"/>
  <c r="C264" i="11"/>
  <c r="B264" i="11"/>
  <c r="A264" i="11"/>
  <c r="C263" i="11"/>
  <c r="B263" i="11"/>
  <c r="A263" i="11"/>
  <c r="C262" i="11"/>
  <c r="B262" i="11"/>
  <c r="A262" i="11"/>
  <c r="C261" i="11"/>
  <c r="B261" i="11"/>
  <c r="A261" i="11"/>
  <c r="C260" i="11"/>
  <c r="B260" i="11"/>
  <c r="A260" i="11"/>
  <c r="C259" i="11"/>
  <c r="B259" i="11"/>
  <c r="A259" i="11"/>
  <c r="C258" i="11"/>
  <c r="B258" i="11"/>
  <c r="A258" i="11"/>
  <c r="C257" i="11"/>
  <c r="B257" i="11"/>
  <c r="A257" i="11"/>
  <c r="C256" i="11"/>
  <c r="B256" i="11"/>
  <c r="A256" i="11"/>
  <c r="C255" i="11"/>
  <c r="B255" i="11"/>
  <c r="A255" i="11"/>
  <c r="C254" i="11"/>
  <c r="B254" i="11"/>
  <c r="A254" i="11"/>
  <c r="C253" i="11"/>
  <c r="B253" i="11"/>
  <c r="A253" i="11"/>
  <c r="C252" i="11"/>
  <c r="B252" i="11"/>
  <c r="A252" i="11"/>
  <c r="C251" i="11"/>
  <c r="B251" i="11"/>
  <c r="A251" i="11"/>
  <c r="C250" i="11"/>
  <c r="B250" i="11"/>
  <c r="A250" i="11"/>
  <c r="C249" i="11"/>
  <c r="B249" i="11"/>
  <c r="A249" i="11"/>
  <c r="C248" i="11"/>
  <c r="B248" i="11"/>
  <c r="A248" i="11"/>
  <c r="C247" i="11"/>
  <c r="B247" i="11"/>
  <c r="A247" i="11"/>
  <c r="C246" i="11"/>
  <c r="B246" i="11"/>
  <c r="A246" i="11"/>
  <c r="C245" i="11"/>
  <c r="B245" i="11"/>
  <c r="A245" i="11"/>
  <c r="C244" i="11"/>
  <c r="B244" i="11"/>
  <c r="A244" i="11"/>
  <c r="C243" i="11"/>
  <c r="B243" i="11"/>
  <c r="A243" i="11"/>
  <c r="C242" i="11"/>
  <c r="B242" i="11"/>
  <c r="A242" i="11"/>
  <c r="C241" i="11"/>
  <c r="B241" i="11"/>
  <c r="A241" i="11"/>
  <c r="C240" i="11"/>
  <c r="B240" i="11"/>
  <c r="A240" i="11"/>
  <c r="C239" i="11"/>
  <c r="B239" i="11"/>
  <c r="A239" i="11"/>
  <c r="C238" i="11"/>
  <c r="B238" i="11"/>
  <c r="A238" i="11"/>
  <c r="C237" i="11"/>
  <c r="B237" i="11"/>
  <c r="A237" i="11"/>
  <c r="C236" i="11"/>
  <c r="B236" i="11"/>
  <c r="A236" i="11"/>
  <c r="C235" i="11"/>
  <c r="B235" i="11"/>
  <c r="A235" i="11"/>
  <c r="C234" i="11"/>
  <c r="B234" i="11"/>
  <c r="A234" i="11"/>
  <c r="C233" i="11"/>
  <c r="B233" i="11"/>
  <c r="A233" i="11"/>
  <c r="C232" i="11"/>
  <c r="B232" i="11"/>
  <c r="A232" i="11"/>
  <c r="C231" i="11"/>
  <c r="B231" i="11"/>
  <c r="A231" i="11"/>
  <c r="C230" i="11"/>
  <c r="B230" i="11"/>
  <c r="A230" i="11"/>
  <c r="C229" i="11"/>
  <c r="B229" i="11"/>
  <c r="A229" i="11"/>
  <c r="C228" i="11"/>
  <c r="B228" i="11"/>
  <c r="A228" i="11"/>
  <c r="C227" i="11"/>
  <c r="B227" i="11"/>
  <c r="A227" i="11"/>
  <c r="C226" i="11"/>
  <c r="B226" i="11"/>
  <c r="A226" i="11"/>
  <c r="C225" i="11"/>
  <c r="B225" i="11"/>
  <c r="A225" i="11"/>
  <c r="C224" i="11"/>
  <c r="B224" i="11"/>
  <c r="A224" i="11"/>
  <c r="C223" i="11"/>
  <c r="B223" i="11"/>
  <c r="A223" i="11"/>
  <c r="C222" i="11"/>
  <c r="B222" i="11"/>
  <c r="A222" i="11"/>
  <c r="C221" i="11"/>
  <c r="B221" i="11"/>
  <c r="A221" i="11"/>
  <c r="C220" i="11"/>
  <c r="B220" i="11"/>
  <c r="A220" i="11"/>
  <c r="C219" i="11"/>
  <c r="B219" i="11"/>
  <c r="A219" i="11"/>
  <c r="C218" i="11"/>
  <c r="B218" i="11"/>
  <c r="A218" i="11"/>
  <c r="C217" i="11"/>
  <c r="B217" i="11"/>
  <c r="A217" i="11"/>
  <c r="C216" i="11"/>
  <c r="B216" i="11"/>
  <c r="A216" i="11"/>
  <c r="C215" i="11"/>
  <c r="B215" i="11"/>
  <c r="A215" i="11"/>
  <c r="C214" i="11"/>
  <c r="B214" i="11"/>
  <c r="A214" i="11"/>
  <c r="C213" i="11"/>
  <c r="B213" i="11"/>
  <c r="A213" i="11"/>
  <c r="C212" i="11"/>
  <c r="B212" i="11"/>
  <c r="A212" i="11"/>
  <c r="C211" i="11"/>
  <c r="B211" i="11"/>
  <c r="A211" i="11"/>
  <c r="C210" i="11"/>
  <c r="B210" i="11"/>
  <c r="A210" i="11"/>
  <c r="C209" i="11"/>
  <c r="B209" i="11"/>
  <c r="A209" i="11"/>
  <c r="C208" i="11"/>
  <c r="B208" i="11"/>
  <c r="A208" i="11"/>
  <c r="C207" i="11"/>
  <c r="B207" i="11"/>
  <c r="A207" i="11"/>
  <c r="C206" i="11"/>
  <c r="B206" i="11"/>
  <c r="A206" i="11"/>
  <c r="C205" i="11"/>
  <c r="B205" i="11"/>
  <c r="A205" i="11"/>
  <c r="C204" i="11"/>
  <c r="B204" i="11"/>
  <c r="A204" i="11"/>
  <c r="C203" i="11"/>
  <c r="B203" i="11"/>
  <c r="A203" i="11"/>
  <c r="C202" i="11"/>
  <c r="B202" i="11"/>
  <c r="A202" i="11"/>
  <c r="C201" i="11"/>
  <c r="B201" i="11"/>
  <c r="A201" i="11"/>
  <c r="C200" i="11"/>
  <c r="B200" i="11"/>
  <c r="A200" i="11"/>
  <c r="C199" i="11"/>
  <c r="B199" i="11"/>
  <c r="A199" i="11"/>
  <c r="C198" i="11"/>
  <c r="B198" i="11"/>
  <c r="A198" i="11"/>
  <c r="C197" i="11"/>
  <c r="B197" i="11"/>
  <c r="A197" i="11"/>
  <c r="C196" i="11"/>
  <c r="B196" i="11"/>
  <c r="A196" i="11"/>
  <c r="C195" i="11"/>
  <c r="B195" i="11"/>
  <c r="A195" i="11"/>
  <c r="C194" i="11"/>
  <c r="B194" i="11"/>
  <c r="A194" i="11"/>
  <c r="C193" i="11"/>
  <c r="B193" i="11"/>
  <c r="A193" i="11"/>
  <c r="C192" i="11"/>
  <c r="B192" i="11"/>
  <c r="A192" i="11"/>
  <c r="C191" i="11"/>
  <c r="B191" i="11"/>
  <c r="A191" i="11"/>
  <c r="C190" i="11"/>
  <c r="B190" i="11"/>
  <c r="A190" i="11"/>
  <c r="C189" i="11"/>
  <c r="B189" i="11"/>
  <c r="A189" i="11"/>
  <c r="C188" i="11"/>
  <c r="B188" i="11"/>
  <c r="A188" i="11"/>
  <c r="C187" i="11"/>
  <c r="B187" i="11"/>
  <c r="A187" i="11"/>
  <c r="C186" i="11"/>
  <c r="B186" i="11"/>
  <c r="A186" i="11"/>
  <c r="C185" i="11"/>
  <c r="B185" i="11"/>
  <c r="A185" i="11"/>
  <c r="C184" i="11"/>
  <c r="B184" i="11"/>
  <c r="A184" i="11"/>
  <c r="C183" i="11"/>
  <c r="B183" i="11"/>
  <c r="A183" i="11"/>
  <c r="C182" i="11"/>
  <c r="B182" i="11"/>
  <c r="A182" i="11"/>
  <c r="C181" i="11"/>
  <c r="B181" i="11"/>
  <c r="A181" i="11"/>
  <c r="C180" i="11"/>
  <c r="B180" i="11"/>
  <c r="A180" i="11"/>
  <c r="C179" i="11"/>
  <c r="B179" i="11"/>
  <c r="A179" i="11"/>
  <c r="C178" i="11"/>
  <c r="B178" i="11"/>
  <c r="A178" i="11"/>
  <c r="C177" i="11"/>
  <c r="B177" i="11"/>
  <c r="A177" i="11"/>
  <c r="C176" i="11"/>
  <c r="B176" i="11"/>
  <c r="A176" i="11"/>
  <c r="C175" i="11"/>
  <c r="B175" i="11"/>
  <c r="A175" i="11"/>
  <c r="C174" i="11"/>
  <c r="B174" i="11"/>
  <c r="A174" i="11"/>
  <c r="C173" i="11"/>
  <c r="B173" i="11"/>
  <c r="A173" i="11"/>
  <c r="C172" i="11"/>
  <c r="B172" i="11"/>
  <c r="A172" i="11"/>
  <c r="C171" i="11"/>
  <c r="B171" i="11"/>
  <c r="A171" i="11"/>
  <c r="C170" i="11"/>
  <c r="B170" i="11"/>
  <c r="A170" i="11"/>
  <c r="C169" i="11"/>
  <c r="B169" i="11"/>
  <c r="A169" i="11"/>
  <c r="C168" i="11"/>
  <c r="B168" i="11"/>
  <c r="A168" i="11"/>
  <c r="C167" i="11"/>
  <c r="B167" i="11"/>
  <c r="A167" i="11"/>
  <c r="C166" i="11"/>
  <c r="B166" i="11"/>
  <c r="A166" i="11"/>
  <c r="C165" i="11"/>
  <c r="B165" i="11"/>
  <c r="A165" i="11"/>
  <c r="C164" i="11"/>
  <c r="B164" i="11"/>
  <c r="A164" i="11"/>
  <c r="C163" i="11"/>
  <c r="B163" i="11"/>
  <c r="A163" i="11"/>
  <c r="C162" i="11"/>
  <c r="B162" i="11"/>
  <c r="A162" i="11"/>
  <c r="C161" i="11"/>
  <c r="B161" i="11"/>
  <c r="A161" i="11"/>
  <c r="C160" i="11"/>
  <c r="B160" i="11"/>
  <c r="A160" i="11"/>
  <c r="C159" i="11"/>
  <c r="B159" i="11"/>
  <c r="A159" i="11"/>
  <c r="C158" i="11"/>
  <c r="B158" i="11"/>
  <c r="A158" i="11"/>
  <c r="C157" i="11"/>
  <c r="B157" i="11"/>
  <c r="A157" i="11"/>
  <c r="C156" i="11"/>
  <c r="B156" i="11"/>
  <c r="A156" i="11"/>
  <c r="C155" i="11"/>
  <c r="B155" i="11"/>
  <c r="A155" i="11"/>
  <c r="C154" i="11"/>
  <c r="B154" i="11"/>
  <c r="A154" i="11"/>
  <c r="C153" i="11"/>
  <c r="B153" i="11"/>
  <c r="A153" i="11"/>
  <c r="C152" i="11"/>
  <c r="B152" i="11"/>
  <c r="A152" i="11"/>
  <c r="C151" i="11"/>
  <c r="B151" i="11"/>
  <c r="A151" i="11"/>
  <c r="C150" i="11"/>
  <c r="B150" i="11"/>
  <c r="A150" i="11"/>
  <c r="C149" i="11"/>
  <c r="B149" i="11"/>
  <c r="A149" i="11"/>
  <c r="C148" i="11"/>
  <c r="B148" i="11"/>
  <c r="A148" i="11"/>
  <c r="C147" i="11"/>
  <c r="B147" i="11"/>
  <c r="A147" i="11"/>
  <c r="C146" i="11"/>
  <c r="B146" i="11"/>
  <c r="A146" i="11"/>
  <c r="C145" i="11"/>
  <c r="B145" i="11"/>
  <c r="A145" i="11"/>
  <c r="C144" i="11"/>
  <c r="B144" i="11"/>
  <c r="A144" i="11"/>
  <c r="C143" i="11"/>
  <c r="B143" i="11"/>
  <c r="A143" i="11"/>
  <c r="C142" i="11"/>
  <c r="B142" i="11"/>
  <c r="A142" i="11"/>
  <c r="C141" i="11"/>
  <c r="B141" i="11"/>
  <c r="A141" i="11"/>
  <c r="C140" i="11"/>
  <c r="B140" i="11"/>
  <c r="A140" i="11"/>
  <c r="C139" i="11"/>
  <c r="B139" i="11"/>
  <c r="A139" i="11"/>
  <c r="C138" i="11"/>
  <c r="B138" i="11"/>
  <c r="A138" i="11"/>
  <c r="C137" i="11"/>
  <c r="B137" i="11"/>
  <c r="A137" i="11"/>
  <c r="C136" i="11"/>
  <c r="B136" i="11"/>
  <c r="A136" i="11"/>
  <c r="C135" i="11"/>
  <c r="B135" i="11"/>
  <c r="A135" i="11"/>
  <c r="C134" i="11"/>
  <c r="B134" i="11"/>
  <c r="A134" i="11"/>
  <c r="C133" i="11"/>
  <c r="B133" i="11"/>
  <c r="A133" i="11"/>
  <c r="C132" i="11"/>
  <c r="B132" i="11"/>
  <c r="A132" i="11"/>
  <c r="C131" i="11"/>
  <c r="B131" i="11"/>
  <c r="A131" i="11"/>
  <c r="C130" i="11"/>
  <c r="B130" i="11"/>
  <c r="A130" i="11"/>
  <c r="C129" i="11"/>
  <c r="B129" i="11"/>
  <c r="A129" i="11"/>
  <c r="C128" i="11"/>
  <c r="B128" i="11"/>
  <c r="A128" i="11"/>
  <c r="C127" i="11"/>
  <c r="B127" i="11"/>
  <c r="A127" i="11"/>
  <c r="C126" i="11"/>
  <c r="B126" i="11"/>
  <c r="A126" i="11"/>
  <c r="C125" i="11"/>
  <c r="B125" i="11"/>
  <c r="A125" i="11"/>
  <c r="C124" i="11"/>
  <c r="B124" i="11"/>
  <c r="A124" i="11"/>
  <c r="C123" i="11"/>
  <c r="B123" i="11"/>
  <c r="A123" i="11"/>
  <c r="C122" i="11"/>
  <c r="B122" i="11"/>
  <c r="A122" i="11"/>
  <c r="C121" i="11"/>
  <c r="B121" i="11"/>
  <c r="A121" i="11"/>
  <c r="C120" i="11"/>
  <c r="B120" i="11"/>
  <c r="A120" i="11"/>
  <c r="C119" i="11"/>
  <c r="B119" i="11"/>
  <c r="A119" i="11"/>
  <c r="C118" i="11"/>
  <c r="B118" i="11"/>
  <c r="A118" i="11"/>
  <c r="C117" i="11"/>
  <c r="B117" i="11"/>
  <c r="A117" i="11"/>
  <c r="C116" i="11"/>
  <c r="B116" i="11"/>
  <c r="A116" i="11"/>
  <c r="C115" i="11"/>
  <c r="B115" i="11"/>
  <c r="A115" i="11"/>
  <c r="C114" i="11"/>
  <c r="B114" i="11"/>
  <c r="A114" i="11"/>
  <c r="C113" i="11"/>
  <c r="B113" i="11"/>
  <c r="A113" i="11"/>
  <c r="C112" i="11"/>
  <c r="B112" i="11"/>
  <c r="A112" i="11"/>
  <c r="C111" i="11"/>
  <c r="B111" i="11"/>
  <c r="A111" i="11"/>
  <c r="C110" i="11"/>
  <c r="B110" i="11"/>
  <c r="A110" i="11"/>
  <c r="C109" i="11"/>
  <c r="B109" i="11"/>
  <c r="A109" i="11"/>
  <c r="C108" i="11"/>
  <c r="B108" i="11"/>
  <c r="A108" i="11"/>
  <c r="C107" i="11"/>
  <c r="B107" i="11"/>
  <c r="A107" i="11"/>
  <c r="C106" i="11"/>
  <c r="B106" i="11"/>
  <c r="A106" i="11"/>
  <c r="C105" i="11"/>
  <c r="B105" i="11"/>
  <c r="A105" i="11"/>
  <c r="C104" i="11"/>
  <c r="B104" i="11"/>
  <c r="A104" i="11"/>
  <c r="C103" i="11"/>
  <c r="B103" i="11"/>
  <c r="A103" i="11"/>
  <c r="C102" i="11"/>
  <c r="B102" i="11"/>
  <c r="A102" i="11"/>
  <c r="C101" i="11"/>
  <c r="B101" i="11"/>
  <c r="A101" i="11"/>
  <c r="C100" i="11"/>
  <c r="B100" i="11"/>
  <c r="A100" i="11"/>
  <c r="C99" i="11"/>
  <c r="B99" i="11"/>
  <c r="A99" i="11"/>
  <c r="C98" i="11"/>
  <c r="B98" i="11"/>
  <c r="A98" i="11"/>
  <c r="C97" i="11"/>
  <c r="B97" i="11"/>
  <c r="A97" i="11"/>
  <c r="C96" i="11"/>
  <c r="B96" i="11"/>
  <c r="A96" i="11"/>
  <c r="C95" i="11"/>
  <c r="B95" i="11"/>
  <c r="A95" i="11"/>
  <c r="C94" i="11"/>
  <c r="B94" i="11"/>
  <c r="A94" i="11"/>
  <c r="C93" i="11"/>
  <c r="B93" i="11"/>
  <c r="A93" i="11"/>
  <c r="C92" i="11"/>
  <c r="B92" i="11"/>
  <c r="A92" i="11"/>
  <c r="C91" i="11"/>
  <c r="B91" i="11"/>
  <c r="A91" i="11"/>
  <c r="C90" i="11"/>
  <c r="B90" i="11"/>
  <c r="A90" i="11"/>
  <c r="C89" i="11"/>
  <c r="B89" i="11"/>
  <c r="A89" i="11"/>
  <c r="C88" i="11"/>
  <c r="B88" i="11"/>
  <c r="A88" i="11"/>
  <c r="C87" i="11"/>
  <c r="B87" i="11"/>
  <c r="A87" i="11"/>
  <c r="C86" i="11"/>
  <c r="B86" i="11"/>
  <c r="A86" i="11"/>
  <c r="C85" i="11"/>
  <c r="B85" i="11"/>
  <c r="A85" i="11"/>
  <c r="C84" i="11"/>
  <c r="B84" i="11"/>
  <c r="A84" i="11"/>
  <c r="C83" i="11"/>
  <c r="B83" i="11"/>
  <c r="A83" i="11"/>
  <c r="C82" i="11"/>
  <c r="B82" i="11"/>
  <c r="A82" i="11"/>
  <c r="C81" i="11"/>
  <c r="B81" i="11"/>
  <c r="A81" i="11"/>
  <c r="C80" i="11"/>
  <c r="B80" i="11"/>
  <c r="A80" i="11"/>
  <c r="C79" i="11"/>
  <c r="B79" i="11"/>
  <c r="A79" i="11"/>
  <c r="C78" i="11"/>
  <c r="B78" i="11"/>
  <c r="A78" i="11"/>
  <c r="C77" i="11"/>
  <c r="B77" i="11"/>
  <c r="A77" i="11"/>
  <c r="C76" i="11"/>
  <c r="B76" i="11"/>
  <c r="A76" i="11"/>
  <c r="C75" i="11"/>
  <c r="B75" i="11"/>
  <c r="A75" i="11"/>
  <c r="C74" i="11"/>
  <c r="B74" i="11"/>
  <c r="A74" i="11"/>
  <c r="C73" i="11"/>
  <c r="B73" i="11"/>
  <c r="A73" i="11"/>
  <c r="C72" i="11"/>
  <c r="B72" i="11"/>
  <c r="A72" i="11"/>
  <c r="C71" i="11"/>
  <c r="B71" i="11"/>
  <c r="A71" i="11"/>
  <c r="C70" i="11"/>
  <c r="B70" i="11"/>
  <c r="A70" i="11"/>
  <c r="C69" i="11"/>
  <c r="B69" i="11"/>
  <c r="A69" i="11"/>
  <c r="C68" i="11"/>
  <c r="B68" i="11"/>
  <c r="A68" i="11"/>
  <c r="C67" i="11"/>
  <c r="B67" i="11"/>
  <c r="A67" i="11"/>
  <c r="C66" i="11"/>
  <c r="B66" i="11"/>
  <c r="A66" i="11"/>
  <c r="C65" i="11"/>
  <c r="B65" i="11"/>
  <c r="A65" i="11"/>
  <c r="C64" i="11"/>
  <c r="B64" i="11"/>
  <c r="A64" i="11"/>
  <c r="C63" i="11"/>
  <c r="B63" i="11"/>
  <c r="A63" i="11"/>
  <c r="C62" i="11"/>
  <c r="B62" i="11"/>
  <c r="A62" i="11"/>
  <c r="C61" i="11"/>
  <c r="B61" i="11"/>
  <c r="A61" i="11"/>
  <c r="C60" i="11"/>
  <c r="B60" i="11"/>
  <c r="A60" i="11"/>
  <c r="C59" i="11"/>
  <c r="B59" i="11"/>
  <c r="A59" i="11"/>
  <c r="C58" i="11"/>
  <c r="B58" i="11"/>
  <c r="A58" i="11"/>
  <c r="C57" i="11"/>
  <c r="B57" i="11"/>
  <c r="A57" i="11"/>
  <c r="C56" i="11"/>
  <c r="B56" i="11"/>
  <c r="A56" i="11"/>
  <c r="C55" i="11"/>
  <c r="B55" i="11"/>
  <c r="A55" i="11"/>
  <c r="C54" i="11"/>
  <c r="B54" i="11"/>
  <c r="A54" i="11"/>
  <c r="C53" i="11"/>
  <c r="B53" i="11"/>
  <c r="A53" i="11"/>
  <c r="C52" i="11"/>
  <c r="B52" i="11"/>
  <c r="A52" i="11"/>
  <c r="C51" i="11"/>
  <c r="B51" i="11"/>
  <c r="A51" i="11"/>
  <c r="C50" i="11"/>
  <c r="B50" i="11"/>
  <c r="A50" i="11"/>
  <c r="C49" i="11"/>
  <c r="B49" i="11"/>
  <c r="A49" i="11"/>
  <c r="C48" i="11"/>
  <c r="B48" i="11"/>
  <c r="A48" i="11"/>
  <c r="C47" i="11"/>
  <c r="B47" i="11"/>
  <c r="A47" i="11"/>
  <c r="C46" i="11"/>
  <c r="B46" i="11"/>
  <c r="A46" i="11"/>
  <c r="C45" i="11"/>
  <c r="B45" i="11"/>
  <c r="A45" i="11"/>
  <c r="C44" i="11"/>
  <c r="B44" i="11"/>
  <c r="A44" i="11"/>
  <c r="C43" i="11"/>
  <c r="B43" i="11"/>
  <c r="A43" i="11"/>
  <c r="C42" i="11"/>
  <c r="B42" i="11"/>
  <c r="A42" i="11"/>
  <c r="C41" i="11"/>
  <c r="B41" i="11"/>
  <c r="A41" i="11"/>
  <c r="C40" i="11"/>
  <c r="B40" i="11"/>
  <c r="A40" i="11"/>
  <c r="C39" i="11"/>
  <c r="B39" i="11"/>
  <c r="A39" i="11"/>
  <c r="C38" i="11"/>
  <c r="B38" i="11"/>
  <c r="A38" i="11"/>
  <c r="C37" i="11"/>
  <c r="B37" i="11"/>
  <c r="A37" i="11"/>
  <c r="C36" i="11"/>
  <c r="B36" i="11"/>
  <c r="A36" i="11"/>
  <c r="C35" i="11"/>
  <c r="B35" i="11"/>
  <c r="A35" i="11"/>
  <c r="C34" i="11"/>
  <c r="B34" i="11"/>
  <c r="A34" i="11"/>
  <c r="C33" i="11"/>
  <c r="B33" i="11"/>
  <c r="A33" i="11"/>
  <c r="C32" i="11"/>
  <c r="B32" i="11"/>
  <c r="A32" i="11"/>
  <c r="C31" i="11"/>
  <c r="B31" i="11"/>
  <c r="A31" i="11"/>
  <c r="C30" i="11"/>
  <c r="B30" i="11"/>
  <c r="A30" i="11"/>
  <c r="C29" i="11"/>
  <c r="B29" i="11"/>
  <c r="A29" i="11"/>
  <c r="C28" i="11"/>
  <c r="B28" i="11"/>
  <c r="A28" i="11"/>
  <c r="C27" i="11"/>
  <c r="B27" i="11"/>
  <c r="A27" i="11"/>
  <c r="C26" i="11"/>
  <c r="B26" i="11"/>
  <c r="A26" i="11"/>
  <c r="C25" i="11"/>
  <c r="B25" i="11"/>
  <c r="A25" i="11"/>
  <c r="C24" i="11"/>
  <c r="B24" i="11"/>
  <c r="A24" i="11"/>
  <c r="C23" i="11"/>
  <c r="B23" i="11"/>
  <c r="A23" i="11"/>
  <c r="C22" i="11"/>
  <c r="B22" i="11"/>
  <c r="A22" i="11"/>
  <c r="C21" i="11"/>
  <c r="B21" i="11"/>
  <c r="A21" i="11"/>
  <c r="C20" i="11"/>
  <c r="B20" i="11"/>
  <c r="A20" i="11"/>
  <c r="C19" i="11"/>
  <c r="B19" i="11"/>
  <c r="A19" i="11"/>
  <c r="C18" i="11"/>
  <c r="B18" i="11"/>
  <c r="A18" i="11"/>
  <c r="C17" i="11"/>
  <c r="B17" i="11"/>
  <c r="A17" i="11"/>
  <c r="C16" i="11"/>
  <c r="B16" i="11"/>
  <c r="A16" i="11"/>
  <c r="C15" i="11"/>
  <c r="B15" i="11"/>
  <c r="A15" i="11"/>
  <c r="C14" i="11"/>
  <c r="B14" i="11"/>
  <c r="A14" i="11"/>
  <c r="C13" i="11"/>
  <c r="B13" i="11"/>
  <c r="A13" i="11"/>
  <c r="C12" i="11"/>
  <c r="B12" i="11"/>
  <c r="A12" i="11"/>
  <c r="C11" i="11"/>
  <c r="B11" i="11"/>
  <c r="A11" i="11"/>
  <c r="C10" i="11"/>
  <c r="B10" i="11"/>
  <c r="A10" i="11"/>
  <c r="C9" i="11"/>
  <c r="B9" i="11"/>
  <c r="A9" i="11"/>
  <c r="C8" i="11"/>
  <c r="B8" i="11"/>
  <c r="A8" i="11"/>
  <c r="C7" i="11"/>
  <c r="B7" i="11"/>
  <c r="A7" i="11"/>
  <c r="C6" i="11"/>
  <c r="B6" i="11"/>
  <c r="A6" i="11"/>
  <c r="C5" i="11"/>
  <c r="B5" i="11"/>
  <c r="A5" i="11"/>
  <c r="C4" i="11"/>
  <c r="B4" i="11"/>
  <c r="A4" i="11"/>
  <c r="C3" i="11"/>
  <c r="B3" i="11"/>
  <c r="A3" i="11"/>
  <c r="C2" i="11"/>
  <c r="B2" i="11"/>
  <c r="A2" i="11"/>
</calcChain>
</file>

<file path=xl/sharedStrings.xml><?xml version="1.0" encoding="utf-8"?>
<sst xmlns="http://schemas.openxmlformats.org/spreadsheetml/2006/main" count="2391" uniqueCount="161">
  <si>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</si>
  <si>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</si>
  <si>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</si>
  <si>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</si>
  <si>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</si>
  <si>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</si>
  <si>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</si>
  <si>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</si>
  <si>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</si>
  <si>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</si>
  <si>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</si>
  <si>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</si>
  <si>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</si>
  <si>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</si>
  <si>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</si>
  <si>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</si>
  <si>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</si>
  <si>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</si>
  <si>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</si>
  <si>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</si>
  <si>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</si>
  <si>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</si>
  <si>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</si>
  <si>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</si>
  <si>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</si>
  <si>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</si>
  <si>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</si>
  <si>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</si>
  <si>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</si>
  <si>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</si>
  <si>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</si>
  <si>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</si>
  <si>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</si>
  <si>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</si>
  <si>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</si>
  <si>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</si>
  <si>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</si>
  <si>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</si>
  <si>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</si>
  <si>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</si>
  <si>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</si>
  <si>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</si>
  <si>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</si>
  <si>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</si>
  <si>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</si>
  <si>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</si>
  <si>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</si>
  <si>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</si>
  <si>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</si>
  <si>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</si>
  <si>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</si>
  <si>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</si>
  <si>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</si>
  <si>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</si>
  <si>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</si>
  <si>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</si>
  <si>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</si>
  <si>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</si>
  <si>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</si>
  <si>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</si>
  <si>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</si>
  <si>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</si>
  <si>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</si>
  <si>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</si>
  <si>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</si>
  <si>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</si>
  <si>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</si>
  <si>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</si>
  <si>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</si>
  <si>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</si>
  <si>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</si>
  <si>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</si>
  <si>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</si>
  <si>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</si>
  <si>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</si>
  <si>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</si>
  <si>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</si>
  <si>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</si>
  <si>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</si>
  <si>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</si>
  <si>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</si>
  <si>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</si>
  <si>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</si>
  <si>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</si>
  <si>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</si>
  <si>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</si>
  <si>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</si>
  <si>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</si>
  <si>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</si>
  <si>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</si>
  <si>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</si>
  <si>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</si>
  <si>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</si>
  <si>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</si>
  <si>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</si>
  <si>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</si>
  <si>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</si>
  <si>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</si>
  <si>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</si>
  <si>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</si>
  <si>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</si>
  <si>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</si>
  <si>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</si>
  <si>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</si>
  <si>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</si>
  <si>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</si>
  <si>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</si>
  <si>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</si>
  <si>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</si>
  <si>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</si>
  <si>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</si>
  <si>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</si>
  <si>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</si>
  <si>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</si>
  <si>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</si>
  <si>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</si>
  <si>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</si>
  <si>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</si>
  <si>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</si>
  <si>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</si>
  <si>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</si>
  <si>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</si>
  <si>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</si>
  <si>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</si>
  <si>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</si>
  <si>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</si>
  <si>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Monthly Sales vs Marketing Spend Regression Model</t>
  </si>
  <si>
    <t>Footfall</t>
  </si>
  <si>
    <t>Monthly sales vs Footfall Regression Model</t>
  </si>
  <si>
    <t>Business Usefulness</t>
  </si>
  <si>
    <t>Monthly Sales</t>
  </si>
  <si>
    <t>Marketing Spend</t>
  </si>
  <si>
    <t>Multiple Regression</t>
  </si>
  <si>
    <t>Actual Sales</t>
  </si>
  <si>
    <t>Predicted Sales</t>
  </si>
  <si>
    <t>RESIDUAL OUTPUT</t>
  </si>
  <si>
    <t>Observation</t>
  </si>
  <si>
    <t>Predicted monthly_sales</t>
  </si>
  <si>
    <t>Residuals</t>
  </si>
  <si>
    <t>Dummy_Airport</t>
  </si>
  <si>
    <t>Dummy_HighStreet</t>
  </si>
  <si>
    <t>Dummy_Mall</t>
  </si>
  <si>
    <t xml:space="preserve">Multiple Regression Model </t>
  </si>
  <si>
    <t>Regression Summary</t>
  </si>
  <si>
    <t>Predictions &amp; Residual Analysis</t>
  </si>
  <si>
    <t xml:space="preserve">Model Name </t>
  </si>
  <si>
    <t xml:space="preserve">Dependent Variable </t>
  </si>
  <si>
    <t xml:space="preserve">Independent Variables </t>
  </si>
  <si>
    <t>R-Squared</t>
  </si>
  <si>
    <t xml:space="preserve">Significant Variables </t>
  </si>
  <si>
    <t xml:space="preserve">Limitations </t>
  </si>
  <si>
    <t>Simple Regression 1</t>
  </si>
  <si>
    <t>Shows impact of marketing investment on sales</t>
  </si>
  <si>
    <t>Explains only a small portion of sales variation</t>
  </si>
  <si>
    <t>Simple Regression 2</t>
  </si>
  <si>
    <t>Strong predictor of sales performance</t>
  </si>
  <si>
    <t>Ignores other business factors</t>
  </si>
  <si>
    <t>Marketing Spend, Footfall, Inventory Availability %, Customer Rating, Dummy_Airport</t>
  </si>
  <si>
    <t>All variables</t>
  </si>
  <si>
    <t>Provides the most complete explanation of sales performance</t>
  </si>
  <si>
    <t>Shows association, not causation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</si>
</sst>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0"/>
      <name val="Carlito"/>
    </font>
    <font>
      <b/>
      <sz val="11"/>
      <color theme="1"/>
      <name val="Carlito"/>
    </font>
    <font>
      <i/>
      <sz val="11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20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4" fillId="0" borderId="0" xfId="0" applyNumberFormat="1" applyFont="1" applyFill="1" applyBorder="1" applyAlignment="1">
      <alignment horizontal="right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/>
    <xf numFmtId="0" fontId="8" fillId="0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3" xfId="0" applyNumberFormat="1" applyFont="1" applyFill="1" applyBorder="1" applyAlignment="1"/>
    <xf numFmtId="0" fontId="0" fillId="0" borderId="3" xfId="0" applyFill="1" applyBorder="1" applyAlignment="1"/>
    <xf numFmtId="0" fontId="14" fillId="0" borderId="0" xfId="0" applyFont="1"/>
    <xf numFmtId="0" fontId="1" fillId="5" borderId="3" xfId="0" applyFont="1" applyFill="1" applyBorder="1" applyAlignment="1">
      <alignment horizontal="right"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/>
    <xf numFmtId="0" fontId="17" fillId="0" borderId="0" xfId="0" applyFont="1"/>
    <xf numFmtId="0" fontId="9" fillId="4" borderId="0" xfId="0" applyFont="1" applyFill="1" applyBorder="1" applyAlignment="1">
      <alignment horizontal="center" vertical="center" wrapText="1"/>
    </xf>
    <xf numFmtId="0" fontId="9" fillId="4" borderId="0" xfId="0" applyFont="1" applyFill="1"/>
    <xf numFmtId="0" fontId="9" fillId="4" borderId="4" xfId="0" applyFont="1" applyFill="1" applyBorder="1" applyAlignment="1">
      <alignment horizontal="center" vertical="center" wrapText="1"/>
    </xf>
    <xf numFmtId="0" fontId="18" fillId="4" borderId="0" xfId="0" applyFont="1" applyFill="1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workbookViewId="0">
      <selection activeCell="X4" sqref="X4"/>
    </sheetView>
  </sheetViews>
  <sheetFormatPr defaultRowHeight="15"/>
  <sheetData>
    <row r="1" spans="1:14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topLeftCell="J1" workbookViewId="0">
      <selection activeCell="O1" sqref="O1:O1048576"/>
    </sheetView>
  </sheetViews>
  <sheetFormatPr defaultRowHeight="15"/>
  <cols>
    <col min="4" max="4" width="12.42578125" customWidth="1"/>
    <col min="5" max="5" width="18.42578125" customWidth="1"/>
    <col min="7" max="7" width="19.140625" customWidth="1"/>
    <col min="8" max="8" width="18.7109375" customWidth="1"/>
    <col min="9" max="9" width="30" customWidth="1"/>
    <col min="10" max="10" width="28" customWidth="1"/>
    <col min="11" max="11" width="15.140625" customWidth="1"/>
    <col min="12" max="12" width="29.140625" customWidth="1"/>
    <col min="13" max="13" width="29" customWidth="1"/>
    <col min="14" max="14" width="18.28515625" customWidth="1"/>
    <col min="15" max="15" width="15.28515625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>
        <v>0</v>
      </c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>
        <v>0</v>
      </c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>
        <v>0</v>
      </c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>
        <v>0</v>
      </c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>
        <v>0</v>
      </c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>
        <v>0</v>
      </c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>
        <v>0</v>
      </c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>
        <v>0</v>
      </c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>
        <v>0</v>
      </c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>
        <v>0</v>
      </c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>
        <v>0</v>
      </c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>
        <v>0</v>
      </c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>
        <v>0</v>
      </c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>
        <v>0</v>
      </c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1"/>
  <sheetViews>
    <sheetView workbookViewId="0">
      <selection sqref="A1:A1048576"/>
    </sheetView>
  </sheetViews>
  <sheetFormatPr defaultRowHeight="15"/>
  <cols>
    <col min="1" max="1" width="15.28515625" customWidth="1"/>
    <col min="2" max="3" width="20.140625" customWidth="1"/>
    <col min="4" max="4" width="17.85546875" style="6" customWidth="1"/>
    <col min="5" max="6" width="15.28515625" customWidth="1"/>
    <col min="7" max="7" width="14.7109375" customWidth="1"/>
    <col min="8" max="8" width="17.85546875" style="6" customWidth="1"/>
  </cols>
  <sheetData>
    <row r="1" spans="1:11" ht="36" customHeight="1">
      <c r="A1" s="18" t="s">
        <v>139</v>
      </c>
      <c r="B1" s="18" t="s">
        <v>140</v>
      </c>
      <c r="C1" s="18" t="s">
        <v>141</v>
      </c>
      <c r="D1" s="7" t="s">
        <v>3</v>
      </c>
      <c r="H1" s="7"/>
      <c r="K1" s="4"/>
    </row>
    <row r="2" spans="1:11">
      <c r="A2">
        <f>IF(D2="Airport",1,0)</f>
        <v>0</v>
      </c>
      <c r="B2">
        <f>IF(D2="High Street",1,0)</f>
        <v>0</v>
      </c>
      <c r="C2">
        <f>IF(D2="Mall",1,0)</f>
        <v>0</v>
      </c>
      <c r="D2" s="5" t="s">
        <v>16</v>
      </c>
      <c r="H2" s="5"/>
      <c r="K2" s="2"/>
    </row>
    <row r="3" spans="1:11">
      <c r="A3">
        <f t="shared" ref="A3:A66" si="0">IF(D3="Airport",1,0)</f>
        <v>0</v>
      </c>
      <c r="B3">
        <f t="shared" ref="B3:B66" si="1">IF(D3="High Street",1,0)</f>
        <v>0</v>
      </c>
      <c r="C3">
        <f t="shared" ref="C3:C66" si="2">IF(D3="Mall",1,0)</f>
        <v>0</v>
      </c>
      <c r="D3" s="5" t="s">
        <v>16</v>
      </c>
      <c r="H3" s="5"/>
      <c r="K3" s="2"/>
    </row>
    <row r="4" spans="1:11">
      <c r="A4">
        <f t="shared" si="0"/>
        <v>0</v>
      </c>
      <c r="B4">
        <f t="shared" si="1"/>
        <v>0</v>
      </c>
      <c r="C4">
        <f t="shared" si="2"/>
        <v>0</v>
      </c>
      <c r="D4" s="5" t="s">
        <v>16</v>
      </c>
      <c r="H4" s="5"/>
      <c r="K4" s="2"/>
    </row>
    <row r="5" spans="1:11">
      <c r="A5">
        <f t="shared" si="0"/>
        <v>0</v>
      </c>
      <c r="B5">
        <f t="shared" si="1"/>
        <v>0</v>
      </c>
      <c r="C5">
        <f t="shared" si="2"/>
        <v>0</v>
      </c>
      <c r="D5" s="5" t="s">
        <v>16</v>
      </c>
      <c r="H5" s="5"/>
      <c r="K5" s="2"/>
    </row>
    <row r="6" spans="1:11">
      <c r="A6">
        <f t="shared" si="0"/>
        <v>0</v>
      </c>
      <c r="B6">
        <f t="shared" si="1"/>
        <v>1</v>
      </c>
      <c r="C6">
        <f t="shared" si="2"/>
        <v>0</v>
      </c>
      <c r="D6" s="5" t="s">
        <v>18</v>
      </c>
      <c r="H6" s="5"/>
      <c r="K6" s="2"/>
    </row>
    <row r="7" spans="1:11">
      <c r="A7">
        <f t="shared" si="0"/>
        <v>0</v>
      </c>
      <c r="B7">
        <f t="shared" si="1"/>
        <v>1</v>
      </c>
      <c r="C7">
        <f t="shared" si="2"/>
        <v>0</v>
      </c>
      <c r="D7" s="5" t="s">
        <v>18</v>
      </c>
      <c r="H7" s="5"/>
      <c r="K7" s="2"/>
    </row>
    <row r="8" spans="1:11">
      <c r="A8">
        <f t="shared" si="0"/>
        <v>0</v>
      </c>
      <c r="B8">
        <f t="shared" si="1"/>
        <v>1</v>
      </c>
      <c r="C8">
        <f t="shared" si="2"/>
        <v>0</v>
      </c>
      <c r="D8" s="5" t="s">
        <v>18</v>
      </c>
      <c r="H8" s="5"/>
      <c r="K8" s="2"/>
    </row>
    <row r="9" spans="1:11">
      <c r="A9">
        <f t="shared" si="0"/>
        <v>0</v>
      </c>
      <c r="B9">
        <f t="shared" si="1"/>
        <v>1</v>
      </c>
      <c r="C9">
        <f t="shared" si="2"/>
        <v>0</v>
      </c>
      <c r="D9" s="5" t="s">
        <v>18</v>
      </c>
      <c r="H9" s="5"/>
      <c r="K9" s="2"/>
    </row>
    <row r="10" spans="1:11">
      <c r="A10">
        <f t="shared" si="0"/>
        <v>1</v>
      </c>
      <c r="B10">
        <f t="shared" si="1"/>
        <v>0</v>
      </c>
      <c r="C10">
        <f t="shared" si="2"/>
        <v>0</v>
      </c>
      <c r="D10" s="5" t="s">
        <v>21</v>
      </c>
      <c r="H10" s="5"/>
      <c r="K10" s="2"/>
    </row>
    <row r="11" spans="1:11">
      <c r="A11">
        <f t="shared" si="0"/>
        <v>1</v>
      </c>
      <c r="B11">
        <f t="shared" si="1"/>
        <v>0</v>
      </c>
      <c r="C11">
        <f t="shared" si="2"/>
        <v>0</v>
      </c>
      <c r="D11" s="5" t="s">
        <v>21</v>
      </c>
      <c r="H11" s="5"/>
      <c r="K11" s="2"/>
    </row>
    <row r="12" spans="1:11">
      <c r="A12">
        <f t="shared" si="0"/>
        <v>1</v>
      </c>
      <c r="B12">
        <f t="shared" si="1"/>
        <v>0</v>
      </c>
      <c r="C12">
        <f t="shared" si="2"/>
        <v>0</v>
      </c>
      <c r="D12" s="5" t="s">
        <v>21</v>
      </c>
      <c r="H12" s="5"/>
      <c r="K12" s="2"/>
    </row>
    <row r="13" spans="1:11">
      <c r="A13">
        <f t="shared" si="0"/>
        <v>1</v>
      </c>
      <c r="B13">
        <f t="shared" si="1"/>
        <v>0</v>
      </c>
      <c r="C13">
        <f t="shared" si="2"/>
        <v>0</v>
      </c>
      <c r="D13" s="5" t="s">
        <v>21</v>
      </c>
      <c r="H13" s="5"/>
      <c r="K13" s="2"/>
    </row>
    <row r="14" spans="1:11">
      <c r="A14">
        <f t="shared" si="0"/>
        <v>0</v>
      </c>
      <c r="B14">
        <f t="shared" si="1"/>
        <v>0</v>
      </c>
      <c r="C14">
        <f t="shared" si="2"/>
        <v>0</v>
      </c>
      <c r="D14" s="5" t="s">
        <v>16</v>
      </c>
      <c r="H14" s="5"/>
      <c r="K14" s="2"/>
    </row>
    <row r="15" spans="1:11">
      <c r="A15">
        <f t="shared" si="0"/>
        <v>0</v>
      </c>
      <c r="B15">
        <f t="shared" si="1"/>
        <v>0</v>
      </c>
      <c r="C15">
        <f t="shared" si="2"/>
        <v>0</v>
      </c>
      <c r="D15" s="5" t="s">
        <v>16</v>
      </c>
      <c r="H15" s="5"/>
      <c r="K15" s="2"/>
    </row>
    <row r="16" spans="1:11">
      <c r="A16">
        <f t="shared" si="0"/>
        <v>0</v>
      </c>
      <c r="B16">
        <f t="shared" si="1"/>
        <v>0</v>
      </c>
      <c r="C16">
        <f t="shared" si="2"/>
        <v>0</v>
      </c>
      <c r="D16" s="5" t="s">
        <v>16</v>
      </c>
      <c r="H16" s="5"/>
      <c r="K16" s="2"/>
    </row>
    <row r="17" spans="1:11">
      <c r="A17">
        <f t="shared" si="0"/>
        <v>0</v>
      </c>
      <c r="B17">
        <f t="shared" si="1"/>
        <v>0</v>
      </c>
      <c r="C17">
        <f t="shared" si="2"/>
        <v>0</v>
      </c>
      <c r="D17" s="5" t="s">
        <v>16</v>
      </c>
      <c r="H17" s="5"/>
      <c r="K17" s="2"/>
    </row>
    <row r="18" spans="1:11">
      <c r="A18">
        <f t="shared" si="0"/>
        <v>0</v>
      </c>
      <c r="B18">
        <f t="shared" si="1"/>
        <v>0</v>
      </c>
      <c r="C18">
        <f t="shared" si="2"/>
        <v>0</v>
      </c>
      <c r="D18" s="5" t="s">
        <v>16</v>
      </c>
      <c r="H18" s="5"/>
      <c r="K18" s="2"/>
    </row>
    <row r="19" spans="1:11">
      <c r="A19">
        <f t="shared" si="0"/>
        <v>0</v>
      </c>
      <c r="B19">
        <f t="shared" si="1"/>
        <v>0</v>
      </c>
      <c r="C19">
        <f t="shared" si="2"/>
        <v>0</v>
      </c>
      <c r="D19" s="5" t="s">
        <v>16</v>
      </c>
      <c r="H19" s="5"/>
      <c r="K19" s="2"/>
    </row>
    <row r="20" spans="1:11">
      <c r="A20">
        <f t="shared" si="0"/>
        <v>0</v>
      </c>
      <c r="B20">
        <f t="shared" si="1"/>
        <v>0</v>
      </c>
      <c r="C20">
        <f t="shared" si="2"/>
        <v>0</v>
      </c>
      <c r="D20" s="5" t="s">
        <v>16</v>
      </c>
      <c r="H20" s="5"/>
      <c r="K20" s="2"/>
    </row>
    <row r="21" spans="1:11">
      <c r="A21">
        <f t="shared" si="0"/>
        <v>0</v>
      </c>
      <c r="B21">
        <f t="shared" si="1"/>
        <v>0</v>
      </c>
      <c r="C21">
        <f t="shared" si="2"/>
        <v>0</v>
      </c>
      <c r="D21" s="5" t="s">
        <v>16</v>
      </c>
      <c r="H21" s="5"/>
      <c r="K21" s="2"/>
    </row>
    <row r="22" spans="1:11">
      <c r="A22">
        <f t="shared" si="0"/>
        <v>0</v>
      </c>
      <c r="B22">
        <f t="shared" si="1"/>
        <v>0</v>
      </c>
      <c r="C22">
        <f t="shared" si="2"/>
        <v>0</v>
      </c>
      <c r="D22" s="5" t="s">
        <v>16</v>
      </c>
      <c r="H22" s="5"/>
      <c r="K22" s="2"/>
    </row>
    <row r="23" spans="1:11">
      <c r="A23">
        <f t="shared" si="0"/>
        <v>0</v>
      </c>
      <c r="B23">
        <f t="shared" si="1"/>
        <v>0</v>
      </c>
      <c r="C23">
        <f t="shared" si="2"/>
        <v>0</v>
      </c>
      <c r="D23" s="5" t="s">
        <v>16</v>
      </c>
      <c r="H23" s="5"/>
      <c r="K23" s="2"/>
    </row>
    <row r="24" spans="1:11">
      <c r="A24">
        <f t="shared" si="0"/>
        <v>0</v>
      </c>
      <c r="B24">
        <f t="shared" si="1"/>
        <v>0</v>
      </c>
      <c r="C24">
        <f t="shared" si="2"/>
        <v>0</v>
      </c>
      <c r="D24" s="5" t="s">
        <v>16</v>
      </c>
      <c r="H24" s="5"/>
      <c r="K24" s="2"/>
    </row>
    <row r="25" spans="1:11">
      <c r="A25">
        <f t="shared" si="0"/>
        <v>0</v>
      </c>
      <c r="B25">
        <f t="shared" si="1"/>
        <v>0</v>
      </c>
      <c r="C25">
        <f t="shared" si="2"/>
        <v>0</v>
      </c>
      <c r="D25" s="5" t="s">
        <v>16</v>
      </c>
      <c r="H25" s="5"/>
      <c r="K25" s="2"/>
    </row>
    <row r="26" spans="1:11">
      <c r="A26">
        <f t="shared" si="0"/>
        <v>0</v>
      </c>
      <c r="B26">
        <f t="shared" si="1"/>
        <v>0</v>
      </c>
      <c r="C26">
        <f t="shared" si="2"/>
        <v>1</v>
      </c>
      <c r="D26" s="5" t="s">
        <v>28</v>
      </c>
      <c r="H26" s="5"/>
      <c r="K26" s="2"/>
    </row>
    <row r="27" spans="1:11">
      <c r="A27">
        <f t="shared" si="0"/>
        <v>0</v>
      </c>
      <c r="B27">
        <f t="shared" si="1"/>
        <v>0</v>
      </c>
      <c r="C27">
        <f t="shared" si="2"/>
        <v>1</v>
      </c>
      <c r="D27" s="5" t="s">
        <v>28</v>
      </c>
      <c r="H27" s="5"/>
      <c r="K27" s="2"/>
    </row>
    <row r="28" spans="1:11">
      <c r="A28">
        <f t="shared" si="0"/>
        <v>0</v>
      </c>
      <c r="B28">
        <f t="shared" si="1"/>
        <v>0</v>
      </c>
      <c r="C28">
        <f t="shared" si="2"/>
        <v>1</v>
      </c>
      <c r="D28" s="5" t="s">
        <v>28</v>
      </c>
      <c r="H28" s="5"/>
      <c r="K28" s="2"/>
    </row>
    <row r="29" spans="1:11">
      <c r="A29">
        <f t="shared" si="0"/>
        <v>0</v>
      </c>
      <c r="B29">
        <f t="shared" si="1"/>
        <v>0</v>
      </c>
      <c r="C29">
        <f t="shared" si="2"/>
        <v>1</v>
      </c>
      <c r="D29" s="5" t="s">
        <v>28</v>
      </c>
      <c r="H29" s="5"/>
      <c r="K29" s="2"/>
    </row>
    <row r="30" spans="1:11">
      <c r="A30">
        <f t="shared" si="0"/>
        <v>0</v>
      </c>
      <c r="B30">
        <f t="shared" si="1"/>
        <v>0</v>
      </c>
      <c r="C30">
        <f t="shared" si="2"/>
        <v>0</v>
      </c>
      <c r="D30" s="5" t="s">
        <v>16</v>
      </c>
      <c r="H30" s="5"/>
      <c r="K30" s="2"/>
    </row>
    <row r="31" spans="1:11">
      <c r="A31">
        <f t="shared" si="0"/>
        <v>0</v>
      </c>
      <c r="B31">
        <f t="shared" si="1"/>
        <v>0</v>
      </c>
      <c r="C31">
        <f t="shared" si="2"/>
        <v>0</v>
      </c>
      <c r="D31" s="5" t="s">
        <v>16</v>
      </c>
      <c r="H31" s="5"/>
      <c r="K31" s="2"/>
    </row>
    <row r="32" spans="1:11">
      <c r="A32">
        <f t="shared" si="0"/>
        <v>0</v>
      </c>
      <c r="B32">
        <f t="shared" si="1"/>
        <v>0</v>
      </c>
      <c r="C32">
        <f t="shared" si="2"/>
        <v>0</v>
      </c>
      <c r="D32" s="5" t="s">
        <v>16</v>
      </c>
      <c r="H32" s="5"/>
      <c r="K32" s="2"/>
    </row>
    <row r="33" spans="1:11">
      <c r="A33">
        <f t="shared" si="0"/>
        <v>0</v>
      </c>
      <c r="B33">
        <f t="shared" si="1"/>
        <v>0</v>
      </c>
      <c r="C33">
        <f t="shared" si="2"/>
        <v>0</v>
      </c>
      <c r="D33" s="5" t="s">
        <v>16</v>
      </c>
      <c r="H33" s="5"/>
      <c r="K33" s="2"/>
    </row>
    <row r="34" spans="1:11">
      <c r="A34">
        <f t="shared" si="0"/>
        <v>0</v>
      </c>
      <c r="B34">
        <f t="shared" si="1"/>
        <v>0</v>
      </c>
      <c r="C34">
        <f t="shared" si="2"/>
        <v>0</v>
      </c>
      <c r="D34" s="5" t="s">
        <v>16</v>
      </c>
      <c r="H34" s="5"/>
      <c r="K34" s="2"/>
    </row>
    <row r="35" spans="1:11">
      <c r="A35">
        <f t="shared" si="0"/>
        <v>0</v>
      </c>
      <c r="B35">
        <f t="shared" si="1"/>
        <v>0</v>
      </c>
      <c r="C35">
        <f t="shared" si="2"/>
        <v>0</v>
      </c>
      <c r="D35" s="5" t="s">
        <v>16</v>
      </c>
      <c r="H35" s="5"/>
      <c r="K35" s="2"/>
    </row>
    <row r="36" spans="1:11">
      <c r="A36">
        <f t="shared" si="0"/>
        <v>0</v>
      </c>
      <c r="B36">
        <f t="shared" si="1"/>
        <v>0</v>
      </c>
      <c r="C36">
        <f t="shared" si="2"/>
        <v>0</v>
      </c>
      <c r="D36" s="5" t="s">
        <v>16</v>
      </c>
      <c r="H36" s="5"/>
      <c r="K36" s="2"/>
    </row>
    <row r="37" spans="1:11">
      <c r="A37">
        <f t="shared" si="0"/>
        <v>0</v>
      </c>
      <c r="B37">
        <f t="shared" si="1"/>
        <v>0</v>
      </c>
      <c r="C37">
        <f t="shared" si="2"/>
        <v>0</v>
      </c>
      <c r="D37" s="5" t="s">
        <v>16</v>
      </c>
      <c r="H37" s="5"/>
      <c r="K37" s="2"/>
    </row>
    <row r="38" spans="1:11">
      <c r="A38">
        <f t="shared" si="0"/>
        <v>0</v>
      </c>
      <c r="B38">
        <f t="shared" si="1"/>
        <v>0</v>
      </c>
      <c r="C38">
        <f t="shared" si="2"/>
        <v>1</v>
      </c>
      <c r="D38" s="5" t="s">
        <v>28</v>
      </c>
      <c r="H38" s="5"/>
      <c r="K38" s="2"/>
    </row>
    <row r="39" spans="1:11">
      <c r="A39">
        <f t="shared" si="0"/>
        <v>0</v>
      </c>
      <c r="B39">
        <f t="shared" si="1"/>
        <v>0</v>
      </c>
      <c r="C39">
        <f t="shared" si="2"/>
        <v>1</v>
      </c>
      <c r="D39" s="5" t="s">
        <v>28</v>
      </c>
      <c r="H39" s="5"/>
      <c r="K39" s="2"/>
    </row>
    <row r="40" spans="1:11">
      <c r="A40">
        <f t="shared" si="0"/>
        <v>0</v>
      </c>
      <c r="B40">
        <f t="shared" si="1"/>
        <v>0</v>
      </c>
      <c r="C40">
        <f t="shared" si="2"/>
        <v>1</v>
      </c>
      <c r="D40" s="5" t="s">
        <v>28</v>
      </c>
      <c r="H40" s="5"/>
      <c r="K40" s="2"/>
    </row>
    <row r="41" spans="1:11">
      <c r="A41">
        <f t="shared" si="0"/>
        <v>0</v>
      </c>
      <c r="B41">
        <f t="shared" si="1"/>
        <v>0</v>
      </c>
      <c r="C41">
        <f t="shared" si="2"/>
        <v>1</v>
      </c>
      <c r="D41" s="5" t="s">
        <v>28</v>
      </c>
      <c r="H41" s="5"/>
      <c r="K41" s="2"/>
    </row>
    <row r="42" spans="1:11">
      <c r="A42">
        <f t="shared" si="0"/>
        <v>0</v>
      </c>
      <c r="B42">
        <f t="shared" si="1"/>
        <v>0</v>
      </c>
      <c r="C42">
        <f t="shared" si="2"/>
        <v>1</v>
      </c>
      <c r="D42" s="5" t="s">
        <v>28</v>
      </c>
      <c r="H42" s="5"/>
      <c r="K42" s="2"/>
    </row>
    <row r="43" spans="1:11">
      <c r="A43">
        <f t="shared" si="0"/>
        <v>0</v>
      </c>
      <c r="B43">
        <f t="shared" si="1"/>
        <v>0</v>
      </c>
      <c r="C43">
        <f t="shared" si="2"/>
        <v>1</v>
      </c>
      <c r="D43" s="5" t="s">
        <v>28</v>
      </c>
      <c r="H43" s="5"/>
      <c r="K43" s="2"/>
    </row>
    <row r="44" spans="1:11">
      <c r="A44">
        <f t="shared" si="0"/>
        <v>0</v>
      </c>
      <c r="B44">
        <f t="shared" si="1"/>
        <v>0</v>
      </c>
      <c r="C44">
        <f t="shared" si="2"/>
        <v>1</v>
      </c>
      <c r="D44" s="5" t="s">
        <v>28</v>
      </c>
      <c r="H44" s="5"/>
      <c r="K44" s="2"/>
    </row>
    <row r="45" spans="1:11">
      <c r="A45">
        <f t="shared" si="0"/>
        <v>0</v>
      </c>
      <c r="B45">
        <f t="shared" si="1"/>
        <v>0</v>
      </c>
      <c r="C45">
        <f t="shared" si="2"/>
        <v>1</v>
      </c>
      <c r="D45" s="5" t="s">
        <v>28</v>
      </c>
      <c r="H45" s="5"/>
      <c r="K45" s="2"/>
    </row>
    <row r="46" spans="1:11">
      <c r="A46">
        <f t="shared" si="0"/>
        <v>0</v>
      </c>
      <c r="B46">
        <f t="shared" si="1"/>
        <v>0</v>
      </c>
      <c r="C46">
        <f t="shared" si="2"/>
        <v>0</v>
      </c>
      <c r="D46" s="5" t="s">
        <v>16</v>
      </c>
      <c r="H46" s="5"/>
      <c r="K46" s="2"/>
    </row>
    <row r="47" spans="1:11">
      <c r="A47">
        <f t="shared" si="0"/>
        <v>0</v>
      </c>
      <c r="B47">
        <f t="shared" si="1"/>
        <v>0</v>
      </c>
      <c r="C47">
        <f t="shared" si="2"/>
        <v>0</v>
      </c>
      <c r="D47" s="5" t="s">
        <v>16</v>
      </c>
      <c r="H47" s="5"/>
      <c r="K47" s="2"/>
    </row>
    <row r="48" spans="1:11">
      <c r="A48">
        <f t="shared" si="0"/>
        <v>0</v>
      </c>
      <c r="B48">
        <f t="shared" si="1"/>
        <v>0</v>
      </c>
      <c r="C48">
        <f t="shared" si="2"/>
        <v>0</v>
      </c>
      <c r="D48" s="5" t="s">
        <v>16</v>
      </c>
      <c r="H48" s="5"/>
      <c r="K48" s="2"/>
    </row>
    <row r="49" spans="1:11">
      <c r="A49">
        <f t="shared" si="0"/>
        <v>0</v>
      </c>
      <c r="B49">
        <f t="shared" si="1"/>
        <v>0</v>
      </c>
      <c r="C49">
        <f t="shared" si="2"/>
        <v>0</v>
      </c>
      <c r="D49" s="5" t="s">
        <v>16</v>
      </c>
      <c r="H49" s="5"/>
      <c r="K49" s="2"/>
    </row>
    <row r="50" spans="1:11">
      <c r="A50">
        <f t="shared" si="0"/>
        <v>0</v>
      </c>
      <c r="B50">
        <f t="shared" si="1"/>
        <v>0</v>
      </c>
      <c r="C50">
        <f t="shared" si="2"/>
        <v>1</v>
      </c>
      <c r="D50" s="5" t="s">
        <v>28</v>
      </c>
      <c r="H50" s="5"/>
      <c r="K50" s="2"/>
    </row>
    <row r="51" spans="1:11">
      <c r="A51">
        <f t="shared" si="0"/>
        <v>0</v>
      </c>
      <c r="B51">
        <f t="shared" si="1"/>
        <v>0</v>
      </c>
      <c r="C51">
        <f t="shared" si="2"/>
        <v>1</v>
      </c>
      <c r="D51" s="5" t="s">
        <v>28</v>
      </c>
      <c r="H51" s="5"/>
      <c r="K51" s="2"/>
    </row>
    <row r="52" spans="1:11">
      <c r="A52">
        <f t="shared" si="0"/>
        <v>0</v>
      </c>
      <c r="B52">
        <f t="shared" si="1"/>
        <v>0</v>
      </c>
      <c r="C52">
        <f t="shared" si="2"/>
        <v>1</v>
      </c>
      <c r="D52" s="5" t="s">
        <v>28</v>
      </c>
      <c r="H52" s="5"/>
      <c r="K52" s="2"/>
    </row>
    <row r="53" spans="1:11">
      <c r="A53">
        <f t="shared" si="0"/>
        <v>0</v>
      </c>
      <c r="B53">
        <f t="shared" si="1"/>
        <v>0</v>
      </c>
      <c r="C53">
        <f t="shared" si="2"/>
        <v>1</v>
      </c>
      <c r="D53" s="5" t="s">
        <v>28</v>
      </c>
      <c r="H53" s="5"/>
      <c r="K53" s="2"/>
    </row>
    <row r="54" spans="1:11">
      <c r="A54">
        <f t="shared" si="0"/>
        <v>0</v>
      </c>
      <c r="B54">
        <f t="shared" si="1"/>
        <v>1</v>
      </c>
      <c r="C54">
        <f t="shared" si="2"/>
        <v>0</v>
      </c>
      <c r="D54" s="5" t="s">
        <v>18</v>
      </c>
      <c r="H54" s="5"/>
      <c r="K54" s="2"/>
    </row>
    <row r="55" spans="1:11">
      <c r="A55">
        <f t="shared" si="0"/>
        <v>0</v>
      </c>
      <c r="B55">
        <f t="shared" si="1"/>
        <v>1</v>
      </c>
      <c r="C55">
        <f t="shared" si="2"/>
        <v>0</v>
      </c>
      <c r="D55" s="5" t="s">
        <v>18</v>
      </c>
      <c r="H55" s="5"/>
      <c r="K55" s="2"/>
    </row>
    <row r="56" spans="1:11">
      <c r="A56">
        <f t="shared" si="0"/>
        <v>0</v>
      </c>
      <c r="B56">
        <f t="shared" si="1"/>
        <v>1</v>
      </c>
      <c r="C56">
        <f t="shared" si="2"/>
        <v>0</v>
      </c>
      <c r="D56" s="5" t="s">
        <v>18</v>
      </c>
      <c r="H56" s="5"/>
      <c r="K56" s="2"/>
    </row>
    <row r="57" spans="1:11">
      <c r="A57">
        <f t="shared" si="0"/>
        <v>0</v>
      </c>
      <c r="B57">
        <f t="shared" si="1"/>
        <v>1</v>
      </c>
      <c r="C57">
        <f t="shared" si="2"/>
        <v>0</v>
      </c>
      <c r="D57" s="5" t="s">
        <v>18</v>
      </c>
      <c r="H57" s="5"/>
      <c r="K57" s="2"/>
    </row>
    <row r="58" spans="1:11">
      <c r="A58">
        <f t="shared" si="0"/>
        <v>1</v>
      </c>
      <c r="B58">
        <f t="shared" si="1"/>
        <v>0</v>
      </c>
      <c r="C58">
        <f t="shared" si="2"/>
        <v>0</v>
      </c>
      <c r="D58" s="5" t="s">
        <v>21</v>
      </c>
      <c r="H58" s="5"/>
      <c r="K58" s="2"/>
    </row>
    <row r="59" spans="1:11">
      <c r="A59">
        <f t="shared" si="0"/>
        <v>1</v>
      </c>
      <c r="B59">
        <f t="shared" si="1"/>
        <v>0</v>
      </c>
      <c r="C59">
        <f t="shared" si="2"/>
        <v>0</v>
      </c>
      <c r="D59" s="5" t="s">
        <v>21</v>
      </c>
      <c r="H59" s="5"/>
      <c r="K59" s="2"/>
    </row>
    <row r="60" spans="1:11">
      <c r="A60">
        <f t="shared" si="0"/>
        <v>1</v>
      </c>
      <c r="B60">
        <f t="shared" si="1"/>
        <v>0</v>
      </c>
      <c r="C60">
        <f t="shared" si="2"/>
        <v>0</v>
      </c>
      <c r="D60" s="5" t="s">
        <v>21</v>
      </c>
      <c r="H60" s="5"/>
      <c r="K60" s="2"/>
    </row>
    <row r="61" spans="1:11">
      <c r="A61">
        <f t="shared" si="0"/>
        <v>1</v>
      </c>
      <c r="B61">
        <f t="shared" si="1"/>
        <v>0</v>
      </c>
      <c r="C61">
        <f t="shared" si="2"/>
        <v>0</v>
      </c>
      <c r="D61" s="5" t="s">
        <v>21</v>
      </c>
      <c r="H61" s="5"/>
      <c r="K61" s="2"/>
    </row>
    <row r="62" spans="1:11">
      <c r="A62">
        <f t="shared" si="0"/>
        <v>0</v>
      </c>
      <c r="B62">
        <f t="shared" si="1"/>
        <v>1</v>
      </c>
      <c r="C62">
        <f t="shared" si="2"/>
        <v>0</v>
      </c>
      <c r="D62" s="5" t="s">
        <v>18</v>
      </c>
      <c r="H62" s="5"/>
      <c r="K62" s="2"/>
    </row>
    <row r="63" spans="1:11">
      <c r="A63">
        <f t="shared" si="0"/>
        <v>0</v>
      </c>
      <c r="B63">
        <f t="shared" si="1"/>
        <v>1</v>
      </c>
      <c r="C63">
        <f t="shared" si="2"/>
        <v>0</v>
      </c>
      <c r="D63" s="5" t="s">
        <v>18</v>
      </c>
      <c r="H63" s="5"/>
      <c r="K63" s="2"/>
    </row>
    <row r="64" spans="1:11">
      <c r="A64">
        <f t="shared" si="0"/>
        <v>0</v>
      </c>
      <c r="B64">
        <f t="shared" si="1"/>
        <v>1</v>
      </c>
      <c r="C64">
        <f t="shared" si="2"/>
        <v>0</v>
      </c>
      <c r="D64" s="5" t="s">
        <v>18</v>
      </c>
      <c r="H64" s="5"/>
      <c r="K64" s="2"/>
    </row>
    <row r="65" spans="1:11">
      <c r="A65">
        <f t="shared" si="0"/>
        <v>0</v>
      </c>
      <c r="B65">
        <f t="shared" si="1"/>
        <v>1</v>
      </c>
      <c r="C65">
        <f t="shared" si="2"/>
        <v>0</v>
      </c>
      <c r="D65" s="5" t="s">
        <v>18</v>
      </c>
      <c r="H65" s="5"/>
      <c r="K65" s="2"/>
    </row>
    <row r="66" spans="1:11">
      <c r="A66">
        <f t="shared" si="0"/>
        <v>0</v>
      </c>
      <c r="B66">
        <f t="shared" si="1"/>
        <v>1</v>
      </c>
      <c r="C66">
        <f t="shared" si="2"/>
        <v>0</v>
      </c>
      <c r="D66" s="5" t="s">
        <v>18</v>
      </c>
      <c r="H66" s="5"/>
      <c r="K66" s="2"/>
    </row>
    <row r="67" spans="1:11">
      <c r="A67">
        <f t="shared" ref="A67:A130" si="3">IF(D67="Airport",1,0)</f>
        <v>0</v>
      </c>
      <c r="B67">
        <f t="shared" ref="B67:B130" si="4">IF(D67="High Street",1,0)</f>
        <v>1</v>
      </c>
      <c r="C67">
        <f t="shared" ref="C67:C130" si="5">IF(D67="Mall",1,0)</f>
        <v>0</v>
      </c>
      <c r="D67" s="5" t="s">
        <v>18</v>
      </c>
      <c r="H67" s="5"/>
      <c r="K67" s="2"/>
    </row>
    <row r="68" spans="1:11">
      <c r="A68">
        <f t="shared" si="3"/>
        <v>0</v>
      </c>
      <c r="B68">
        <f t="shared" si="4"/>
        <v>1</v>
      </c>
      <c r="C68">
        <f t="shared" si="5"/>
        <v>0</v>
      </c>
      <c r="D68" s="5" t="s">
        <v>18</v>
      </c>
      <c r="H68" s="5"/>
      <c r="K68" s="2"/>
    </row>
    <row r="69" spans="1:11">
      <c r="A69">
        <f t="shared" si="3"/>
        <v>0</v>
      </c>
      <c r="B69">
        <f t="shared" si="4"/>
        <v>1</v>
      </c>
      <c r="C69">
        <f t="shared" si="5"/>
        <v>0</v>
      </c>
      <c r="D69" s="5" t="s">
        <v>18</v>
      </c>
      <c r="H69" s="5"/>
      <c r="K69" s="2"/>
    </row>
    <row r="70" spans="1:11">
      <c r="A70">
        <f t="shared" si="3"/>
        <v>0</v>
      </c>
      <c r="B70">
        <f t="shared" si="4"/>
        <v>1</v>
      </c>
      <c r="C70">
        <f t="shared" si="5"/>
        <v>0</v>
      </c>
      <c r="D70" s="5" t="s">
        <v>18</v>
      </c>
      <c r="H70" s="5"/>
      <c r="K70" s="2"/>
    </row>
    <row r="71" spans="1:11">
      <c r="A71">
        <f t="shared" si="3"/>
        <v>0</v>
      </c>
      <c r="B71">
        <f t="shared" si="4"/>
        <v>1</v>
      </c>
      <c r="C71">
        <f t="shared" si="5"/>
        <v>0</v>
      </c>
      <c r="D71" s="5" t="s">
        <v>18</v>
      </c>
      <c r="H71" s="5"/>
      <c r="K71" s="2"/>
    </row>
    <row r="72" spans="1:11">
      <c r="A72">
        <f t="shared" si="3"/>
        <v>0</v>
      </c>
      <c r="B72">
        <f t="shared" si="4"/>
        <v>1</v>
      </c>
      <c r="C72">
        <f t="shared" si="5"/>
        <v>0</v>
      </c>
      <c r="D72" s="5" t="s">
        <v>18</v>
      </c>
      <c r="H72" s="5"/>
      <c r="K72" s="2"/>
    </row>
    <row r="73" spans="1:11">
      <c r="A73">
        <f t="shared" si="3"/>
        <v>0</v>
      </c>
      <c r="B73">
        <f t="shared" si="4"/>
        <v>1</v>
      </c>
      <c r="C73">
        <f t="shared" si="5"/>
        <v>0</v>
      </c>
      <c r="D73" s="5" t="s">
        <v>18</v>
      </c>
      <c r="H73" s="5"/>
      <c r="K73" s="2"/>
    </row>
    <row r="74" spans="1:11">
      <c r="A74">
        <f t="shared" si="3"/>
        <v>0</v>
      </c>
      <c r="B74">
        <f t="shared" si="4"/>
        <v>0</v>
      </c>
      <c r="C74">
        <f t="shared" si="5"/>
        <v>0</v>
      </c>
      <c r="D74" s="5" t="s">
        <v>16</v>
      </c>
      <c r="H74" s="5"/>
      <c r="K74" s="2"/>
    </row>
    <row r="75" spans="1:11">
      <c r="A75">
        <f t="shared" si="3"/>
        <v>0</v>
      </c>
      <c r="B75">
        <f t="shared" si="4"/>
        <v>0</v>
      </c>
      <c r="C75">
        <f t="shared" si="5"/>
        <v>0</v>
      </c>
      <c r="D75" s="5" t="s">
        <v>16</v>
      </c>
      <c r="H75" s="5"/>
      <c r="K75" s="2"/>
    </row>
    <row r="76" spans="1:11">
      <c r="A76">
        <f t="shared" si="3"/>
        <v>0</v>
      </c>
      <c r="B76">
        <f t="shared" si="4"/>
        <v>0</v>
      </c>
      <c r="C76">
        <f t="shared" si="5"/>
        <v>0</v>
      </c>
      <c r="D76" s="5" t="s">
        <v>16</v>
      </c>
      <c r="H76" s="5"/>
      <c r="K76" s="2"/>
    </row>
    <row r="77" spans="1:11">
      <c r="A77">
        <f t="shared" si="3"/>
        <v>0</v>
      </c>
      <c r="B77">
        <f t="shared" si="4"/>
        <v>0</v>
      </c>
      <c r="C77">
        <f t="shared" si="5"/>
        <v>0</v>
      </c>
      <c r="D77" s="5" t="s">
        <v>16</v>
      </c>
      <c r="H77" s="5"/>
      <c r="K77" s="2"/>
    </row>
    <row r="78" spans="1:11">
      <c r="A78">
        <f t="shared" si="3"/>
        <v>0</v>
      </c>
      <c r="B78">
        <f t="shared" si="4"/>
        <v>1</v>
      </c>
      <c r="C78">
        <f t="shared" si="5"/>
        <v>0</v>
      </c>
      <c r="D78" s="5" t="s">
        <v>18</v>
      </c>
      <c r="H78" s="5"/>
      <c r="K78" s="2"/>
    </row>
    <row r="79" spans="1:11">
      <c r="A79">
        <f t="shared" si="3"/>
        <v>0</v>
      </c>
      <c r="B79">
        <f t="shared" si="4"/>
        <v>1</v>
      </c>
      <c r="C79">
        <f t="shared" si="5"/>
        <v>0</v>
      </c>
      <c r="D79" s="5" t="s">
        <v>18</v>
      </c>
      <c r="H79" s="5"/>
      <c r="K79" s="2"/>
    </row>
    <row r="80" spans="1:11">
      <c r="A80">
        <f t="shared" si="3"/>
        <v>0</v>
      </c>
      <c r="B80">
        <f t="shared" si="4"/>
        <v>1</v>
      </c>
      <c r="C80">
        <f t="shared" si="5"/>
        <v>0</v>
      </c>
      <c r="D80" s="5" t="s">
        <v>18</v>
      </c>
      <c r="H80" s="5"/>
      <c r="K80" s="2"/>
    </row>
    <row r="81" spans="1:11">
      <c r="A81">
        <f t="shared" si="3"/>
        <v>0</v>
      </c>
      <c r="B81">
        <f t="shared" si="4"/>
        <v>1</v>
      </c>
      <c r="C81">
        <f t="shared" si="5"/>
        <v>0</v>
      </c>
      <c r="D81" s="5" t="s">
        <v>18</v>
      </c>
      <c r="H81" s="5"/>
      <c r="K81" s="2"/>
    </row>
    <row r="82" spans="1:11">
      <c r="A82">
        <f t="shared" si="3"/>
        <v>0</v>
      </c>
      <c r="B82">
        <f t="shared" si="4"/>
        <v>0</v>
      </c>
      <c r="C82">
        <f t="shared" si="5"/>
        <v>1</v>
      </c>
      <c r="D82" s="5" t="s">
        <v>28</v>
      </c>
      <c r="H82" s="5"/>
      <c r="K82" s="2"/>
    </row>
    <row r="83" spans="1:11">
      <c r="A83">
        <f t="shared" si="3"/>
        <v>0</v>
      </c>
      <c r="B83">
        <f t="shared" si="4"/>
        <v>0</v>
      </c>
      <c r="C83">
        <f t="shared" si="5"/>
        <v>1</v>
      </c>
      <c r="D83" s="5" t="s">
        <v>28</v>
      </c>
      <c r="H83" s="5"/>
      <c r="K83" s="2"/>
    </row>
    <row r="84" spans="1:11">
      <c r="A84">
        <f t="shared" si="3"/>
        <v>0</v>
      </c>
      <c r="B84">
        <f t="shared" si="4"/>
        <v>0</v>
      </c>
      <c r="C84">
        <f t="shared" si="5"/>
        <v>1</v>
      </c>
      <c r="D84" s="5" t="s">
        <v>28</v>
      </c>
      <c r="H84" s="5"/>
      <c r="K84" s="2"/>
    </row>
    <row r="85" spans="1:11">
      <c r="A85">
        <f t="shared" si="3"/>
        <v>0</v>
      </c>
      <c r="B85">
        <f t="shared" si="4"/>
        <v>0</v>
      </c>
      <c r="C85">
        <f t="shared" si="5"/>
        <v>1</v>
      </c>
      <c r="D85" s="5" t="s">
        <v>28</v>
      </c>
      <c r="H85" s="5"/>
      <c r="K85" s="2"/>
    </row>
    <row r="86" spans="1:11">
      <c r="A86">
        <f t="shared" si="3"/>
        <v>0</v>
      </c>
      <c r="B86">
        <f t="shared" si="4"/>
        <v>1</v>
      </c>
      <c r="C86">
        <f t="shared" si="5"/>
        <v>0</v>
      </c>
      <c r="D86" s="5" t="s">
        <v>18</v>
      </c>
      <c r="H86" s="5"/>
      <c r="K86" s="2"/>
    </row>
    <row r="87" spans="1:11">
      <c r="A87">
        <f t="shared" si="3"/>
        <v>0</v>
      </c>
      <c r="B87">
        <f t="shared" si="4"/>
        <v>1</v>
      </c>
      <c r="C87">
        <f t="shared" si="5"/>
        <v>0</v>
      </c>
      <c r="D87" s="5" t="s">
        <v>18</v>
      </c>
      <c r="H87" s="5"/>
      <c r="K87" s="2"/>
    </row>
    <row r="88" spans="1:11">
      <c r="A88">
        <f t="shared" si="3"/>
        <v>0</v>
      </c>
      <c r="B88">
        <f t="shared" si="4"/>
        <v>1</v>
      </c>
      <c r="C88">
        <f t="shared" si="5"/>
        <v>0</v>
      </c>
      <c r="D88" s="5" t="s">
        <v>18</v>
      </c>
      <c r="H88" s="5"/>
      <c r="K88" s="2"/>
    </row>
    <row r="89" spans="1:11">
      <c r="A89">
        <f t="shared" si="3"/>
        <v>0</v>
      </c>
      <c r="B89">
        <f t="shared" si="4"/>
        <v>1</v>
      </c>
      <c r="C89">
        <f t="shared" si="5"/>
        <v>0</v>
      </c>
      <c r="D89" s="5" t="s">
        <v>18</v>
      </c>
      <c r="H89" s="5"/>
      <c r="K89" s="2"/>
    </row>
    <row r="90" spans="1:11">
      <c r="A90">
        <f t="shared" si="3"/>
        <v>0</v>
      </c>
      <c r="B90">
        <f t="shared" si="4"/>
        <v>0</v>
      </c>
      <c r="C90">
        <f t="shared" si="5"/>
        <v>1</v>
      </c>
      <c r="D90" s="5" t="s">
        <v>28</v>
      </c>
      <c r="H90" s="5"/>
      <c r="K90" s="2"/>
    </row>
    <row r="91" spans="1:11">
      <c r="A91">
        <f t="shared" si="3"/>
        <v>0</v>
      </c>
      <c r="B91">
        <f t="shared" si="4"/>
        <v>0</v>
      </c>
      <c r="C91">
        <f t="shared" si="5"/>
        <v>1</v>
      </c>
      <c r="D91" s="5" t="s">
        <v>28</v>
      </c>
      <c r="H91" s="5"/>
      <c r="K91" s="2"/>
    </row>
    <row r="92" spans="1:11">
      <c r="A92">
        <f t="shared" si="3"/>
        <v>0</v>
      </c>
      <c r="B92">
        <f t="shared" si="4"/>
        <v>0</v>
      </c>
      <c r="C92">
        <f t="shared" si="5"/>
        <v>1</v>
      </c>
      <c r="D92" s="5" t="s">
        <v>28</v>
      </c>
      <c r="H92" s="5"/>
      <c r="K92" s="2"/>
    </row>
    <row r="93" spans="1:11">
      <c r="A93">
        <f t="shared" si="3"/>
        <v>0</v>
      </c>
      <c r="B93">
        <f t="shared" si="4"/>
        <v>0</v>
      </c>
      <c r="C93">
        <f t="shared" si="5"/>
        <v>1</v>
      </c>
      <c r="D93" s="5" t="s">
        <v>28</v>
      </c>
      <c r="H93" s="5"/>
      <c r="K93" s="2"/>
    </row>
    <row r="94" spans="1:11">
      <c r="A94">
        <f t="shared" si="3"/>
        <v>0</v>
      </c>
      <c r="B94">
        <f t="shared" si="4"/>
        <v>0</v>
      </c>
      <c r="C94">
        <f t="shared" si="5"/>
        <v>0</v>
      </c>
      <c r="D94" s="5" t="s">
        <v>16</v>
      </c>
      <c r="H94" s="5"/>
      <c r="K94" s="2"/>
    </row>
    <row r="95" spans="1:11">
      <c r="A95">
        <f t="shared" si="3"/>
        <v>0</v>
      </c>
      <c r="B95">
        <f t="shared" si="4"/>
        <v>0</v>
      </c>
      <c r="C95">
        <f t="shared" si="5"/>
        <v>0</v>
      </c>
      <c r="D95" s="5" t="s">
        <v>16</v>
      </c>
      <c r="H95" s="5"/>
      <c r="K95" s="2"/>
    </row>
    <row r="96" spans="1:11">
      <c r="A96">
        <f t="shared" si="3"/>
        <v>0</v>
      </c>
      <c r="B96">
        <f t="shared" si="4"/>
        <v>0</v>
      </c>
      <c r="C96">
        <f t="shared" si="5"/>
        <v>0</v>
      </c>
      <c r="D96" s="5" t="s">
        <v>16</v>
      </c>
      <c r="H96" s="5"/>
      <c r="K96" s="2"/>
    </row>
    <row r="97" spans="1:11">
      <c r="A97">
        <f t="shared" si="3"/>
        <v>0</v>
      </c>
      <c r="B97">
        <f t="shared" si="4"/>
        <v>0</v>
      </c>
      <c r="C97">
        <f t="shared" si="5"/>
        <v>0</v>
      </c>
      <c r="D97" s="5" t="s">
        <v>16</v>
      </c>
      <c r="H97" s="5"/>
      <c r="K97" s="2"/>
    </row>
    <row r="98" spans="1:11">
      <c r="A98">
        <f t="shared" si="3"/>
        <v>0</v>
      </c>
      <c r="B98">
        <f t="shared" si="4"/>
        <v>0</v>
      </c>
      <c r="C98">
        <f t="shared" si="5"/>
        <v>1</v>
      </c>
      <c r="D98" s="5" t="s">
        <v>28</v>
      </c>
      <c r="H98" s="5"/>
      <c r="K98" s="2"/>
    </row>
    <row r="99" spans="1:11">
      <c r="A99">
        <f t="shared" si="3"/>
        <v>0</v>
      </c>
      <c r="B99">
        <f t="shared" si="4"/>
        <v>0</v>
      </c>
      <c r="C99">
        <f t="shared" si="5"/>
        <v>1</v>
      </c>
      <c r="D99" s="5" t="s">
        <v>28</v>
      </c>
      <c r="H99" s="5"/>
      <c r="K99" s="2"/>
    </row>
    <row r="100" spans="1:11">
      <c r="A100">
        <f t="shared" si="3"/>
        <v>0</v>
      </c>
      <c r="B100">
        <f t="shared" si="4"/>
        <v>0</v>
      </c>
      <c r="C100">
        <f t="shared" si="5"/>
        <v>1</v>
      </c>
      <c r="D100" s="5" t="s">
        <v>28</v>
      </c>
      <c r="H100" s="5"/>
      <c r="K100" s="2"/>
    </row>
    <row r="101" spans="1:11">
      <c r="A101">
        <f t="shared" si="3"/>
        <v>0</v>
      </c>
      <c r="B101">
        <f t="shared" si="4"/>
        <v>0</v>
      </c>
      <c r="C101">
        <f t="shared" si="5"/>
        <v>1</v>
      </c>
      <c r="D101" s="5" t="s">
        <v>28</v>
      </c>
      <c r="H101" s="5"/>
      <c r="K101" s="2"/>
    </row>
    <row r="102" spans="1:11">
      <c r="A102">
        <f t="shared" si="3"/>
        <v>0</v>
      </c>
      <c r="B102">
        <f t="shared" si="4"/>
        <v>0</v>
      </c>
      <c r="C102">
        <f t="shared" si="5"/>
        <v>1</v>
      </c>
      <c r="D102" s="5" t="s">
        <v>28</v>
      </c>
      <c r="H102" s="5"/>
      <c r="K102" s="2"/>
    </row>
    <row r="103" spans="1:11">
      <c r="A103">
        <f t="shared" si="3"/>
        <v>0</v>
      </c>
      <c r="B103">
        <f t="shared" si="4"/>
        <v>0</v>
      </c>
      <c r="C103">
        <f t="shared" si="5"/>
        <v>1</v>
      </c>
      <c r="D103" s="5" t="s">
        <v>28</v>
      </c>
      <c r="H103" s="5"/>
      <c r="K103" s="2"/>
    </row>
    <row r="104" spans="1:11">
      <c r="A104">
        <f t="shared" si="3"/>
        <v>0</v>
      </c>
      <c r="B104">
        <f t="shared" si="4"/>
        <v>0</v>
      </c>
      <c r="C104">
        <f t="shared" si="5"/>
        <v>1</v>
      </c>
      <c r="D104" s="5" t="s">
        <v>28</v>
      </c>
      <c r="H104" s="5"/>
      <c r="K104" s="2"/>
    </row>
    <row r="105" spans="1:11">
      <c r="A105">
        <f t="shared" si="3"/>
        <v>0</v>
      </c>
      <c r="B105">
        <f t="shared" si="4"/>
        <v>0</v>
      </c>
      <c r="C105">
        <f t="shared" si="5"/>
        <v>1</v>
      </c>
      <c r="D105" s="5" t="s">
        <v>28</v>
      </c>
      <c r="H105" s="5"/>
      <c r="K105" s="2"/>
    </row>
    <row r="106" spans="1:11">
      <c r="A106">
        <f t="shared" si="3"/>
        <v>0</v>
      </c>
      <c r="B106">
        <f t="shared" si="4"/>
        <v>1</v>
      </c>
      <c r="C106">
        <f t="shared" si="5"/>
        <v>0</v>
      </c>
      <c r="D106" s="5" t="s">
        <v>18</v>
      </c>
      <c r="H106" s="5"/>
      <c r="K106" s="2"/>
    </row>
    <row r="107" spans="1:11">
      <c r="A107">
        <f t="shared" si="3"/>
        <v>0</v>
      </c>
      <c r="B107">
        <f t="shared" si="4"/>
        <v>1</v>
      </c>
      <c r="C107">
        <f t="shared" si="5"/>
        <v>0</v>
      </c>
      <c r="D107" s="5" t="s">
        <v>18</v>
      </c>
      <c r="H107" s="5"/>
      <c r="K107" s="2"/>
    </row>
    <row r="108" spans="1:11">
      <c r="A108">
        <f t="shared" si="3"/>
        <v>0</v>
      </c>
      <c r="B108">
        <f t="shared" si="4"/>
        <v>1</v>
      </c>
      <c r="C108">
        <f t="shared" si="5"/>
        <v>0</v>
      </c>
      <c r="D108" s="5" t="s">
        <v>18</v>
      </c>
      <c r="H108" s="5"/>
      <c r="K108" s="2"/>
    </row>
    <row r="109" spans="1:11">
      <c r="A109">
        <f t="shared" si="3"/>
        <v>0</v>
      </c>
      <c r="B109">
        <f t="shared" si="4"/>
        <v>1</v>
      </c>
      <c r="C109">
        <f t="shared" si="5"/>
        <v>0</v>
      </c>
      <c r="D109" s="5" t="s">
        <v>18</v>
      </c>
      <c r="H109" s="5"/>
      <c r="K109" s="2"/>
    </row>
    <row r="110" spans="1:11">
      <c r="A110">
        <f t="shared" si="3"/>
        <v>0</v>
      </c>
      <c r="B110">
        <f t="shared" si="4"/>
        <v>0</v>
      </c>
      <c r="C110">
        <f t="shared" si="5"/>
        <v>1</v>
      </c>
      <c r="D110" s="5" t="s">
        <v>28</v>
      </c>
      <c r="H110" s="5"/>
      <c r="K110" s="2"/>
    </row>
    <row r="111" spans="1:11">
      <c r="A111">
        <f t="shared" si="3"/>
        <v>0</v>
      </c>
      <c r="B111">
        <f t="shared" si="4"/>
        <v>0</v>
      </c>
      <c r="C111">
        <f t="shared" si="5"/>
        <v>1</v>
      </c>
      <c r="D111" s="5" t="s">
        <v>28</v>
      </c>
      <c r="H111" s="5"/>
      <c r="K111" s="2"/>
    </row>
    <row r="112" spans="1:11">
      <c r="A112">
        <f t="shared" si="3"/>
        <v>0</v>
      </c>
      <c r="B112">
        <f t="shared" si="4"/>
        <v>0</v>
      </c>
      <c r="C112">
        <f t="shared" si="5"/>
        <v>1</v>
      </c>
      <c r="D112" s="5" t="s">
        <v>28</v>
      </c>
      <c r="H112" s="5"/>
      <c r="K112" s="2"/>
    </row>
    <row r="113" spans="1:11">
      <c r="A113">
        <f t="shared" si="3"/>
        <v>0</v>
      </c>
      <c r="B113">
        <f t="shared" si="4"/>
        <v>0</v>
      </c>
      <c r="C113">
        <f t="shared" si="5"/>
        <v>1</v>
      </c>
      <c r="D113" s="5" t="s">
        <v>28</v>
      </c>
      <c r="H113" s="5"/>
      <c r="K113" s="2"/>
    </row>
    <row r="114" spans="1:11">
      <c r="A114">
        <f t="shared" si="3"/>
        <v>0</v>
      </c>
      <c r="B114">
        <f t="shared" si="4"/>
        <v>0</v>
      </c>
      <c r="C114">
        <f t="shared" si="5"/>
        <v>1</v>
      </c>
      <c r="D114" s="5" t="s">
        <v>28</v>
      </c>
      <c r="H114" s="5"/>
      <c r="K114" s="2"/>
    </row>
    <row r="115" spans="1:11">
      <c r="A115">
        <f t="shared" si="3"/>
        <v>0</v>
      </c>
      <c r="B115">
        <f t="shared" si="4"/>
        <v>0</v>
      </c>
      <c r="C115">
        <f t="shared" si="5"/>
        <v>1</v>
      </c>
      <c r="D115" s="5" t="s">
        <v>28</v>
      </c>
      <c r="H115" s="5"/>
      <c r="K115" s="2"/>
    </row>
    <row r="116" spans="1:11">
      <c r="A116">
        <f t="shared" si="3"/>
        <v>0</v>
      </c>
      <c r="B116">
        <f t="shared" si="4"/>
        <v>0</v>
      </c>
      <c r="C116">
        <f t="shared" si="5"/>
        <v>1</v>
      </c>
      <c r="D116" s="5" t="s">
        <v>28</v>
      </c>
      <c r="H116" s="5"/>
      <c r="K116" s="2"/>
    </row>
    <row r="117" spans="1:11">
      <c r="A117">
        <f t="shared" si="3"/>
        <v>0</v>
      </c>
      <c r="B117">
        <f t="shared" si="4"/>
        <v>0</v>
      </c>
      <c r="C117">
        <f t="shared" si="5"/>
        <v>1</v>
      </c>
      <c r="D117" s="5" t="s">
        <v>28</v>
      </c>
      <c r="H117" s="5"/>
      <c r="K117" s="2"/>
    </row>
    <row r="118" spans="1:11">
      <c r="A118">
        <f t="shared" si="3"/>
        <v>0</v>
      </c>
      <c r="B118">
        <f t="shared" si="4"/>
        <v>0</v>
      </c>
      <c r="C118">
        <f t="shared" si="5"/>
        <v>0</v>
      </c>
      <c r="D118" s="5" t="s">
        <v>16</v>
      </c>
      <c r="H118" s="5"/>
      <c r="K118" s="2"/>
    </row>
    <row r="119" spans="1:11">
      <c r="A119">
        <f t="shared" si="3"/>
        <v>0</v>
      </c>
      <c r="B119">
        <f t="shared" si="4"/>
        <v>0</v>
      </c>
      <c r="C119">
        <f t="shared" si="5"/>
        <v>0</v>
      </c>
      <c r="D119" s="5" t="s">
        <v>16</v>
      </c>
      <c r="H119" s="5"/>
      <c r="K119" s="2"/>
    </row>
    <row r="120" spans="1:11">
      <c r="A120">
        <f t="shared" si="3"/>
        <v>0</v>
      </c>
      <c r="B120">
        <f t="shared" si="4"/>
        <v>0</v>
      </c>
      <c r="C120">
        <f t="shared" si="5"/>
        <v>0</v>
      </c>
      <c r="D120" s="5" t="s">
        <v>16</v>
      </c>
      <c r="H120" s="5"/>
      <c r="K120" s="2"/>
    </row>
    <row r="121" spans="1:11">
      <c r="A121">
        <f t="shared" si="3"/>
        <v>0</v>
      </c>
      <c r="B121">
        <f t="shared" si="4"/>
        <v>0</v>
      </c>
      <c r="C121">
        <f t="shared" si="5"/>
        <v>0</v>
      </c>
      <c r="D121" s="5" t="s">
        <v>16</v>
      </c>
      <c r="H121" s="5"/>
      <c r="K121" s="2"/>
    </row>
    <row r="122" spans="1:11">
      <c r="A122">
        <f t="shared" si="3"/>
        <v>0</v>
      </c>
      <c r="B122">
        <f t="shared" si="4"/>
        <v>1</v>
      </c>
      <c r="C122">
        <f t="shared" si="5"/>
        <v>0</v>
      </c>
      <c r="D122" s="5" t="s">
        <v>18</v>
      </c>
      <c r="H122" s="5"/>
      <c r="K122" s="2"/>
    </row>
    <row r="123" spans="1:11">
      <c r="A123">
        <f t="shared" si="3"/>
        <v>0</v>
      </c>
      <c r="B123">
        <f t="shared" si="4"/>
        <v>1</v>
      </c>
      <c r="C123">
        <f t="shared" si="5"/>
        <v>0</v>
      </c>
      <c r="D123" s="5" t="s">
        <v>18</v>
      </c>
      <c r="H123" s="5"/>
      <c r="K123" s="2"/>
    </row>
    <row r="124" spans="1:11">
      <c r="A124">
        <f t="shared" si="3"/>
        <v>0</v>
      </c>
      <c r="B124">
        <f t="shared" si="4"/>
        <v>1</v>
      </c>
      <c r="C124">
        <f t="shared" si="5"/>
        <v>0</v>
      </c>
      <c r="D124" s="5" t="s">
        <v>18</v>
      </c>
      <c r="H124" s="5"/>
      <c r="K124" s="2"/>
    </row>
    <row r="125" spans="1:11">
      <c r="A125">
        <f t="shared" si="3"/>
        <v>0</v>
      </c>
      <c r="B125">
        <f t="shared" si="4"/>
        <v>1</v>
      </c>
      <c r="C125">
        <f t="shared" si="5"/>
        <v>0</v>
      </c>
      <c r="D125" s="5" t="s">
        <v>18</v>
      </c>
      <c r="H125" s="5"/>
      <c r="K125" s="2"/>
    </row>
    <row r="126" spans="1:11">
      <c r="A126">
        <f t="shared" si="3"/>
        <v>0</v>
      </c>
      <c r="B126">
        <f t="shared" si="4"/>
        <v>1</v>
      </c>
      <c r="C126">
        <f t="shared" si="5"/>
        <v>0</v>
      </c>
      <c r="D126" s="5" t="s">
        <v>18</v>
      </c>
      <c r="H126" s="5"/>
      <c r="K126" s="2"/>
    </row>
    <row r="127" spans="1:11">
      <c r="A127">
        <f t="shared" si="3"/>
        <v>0</v>
      </c>
      <c r="B127">
        <f t="shared" si="4"/>
        <v>1</v>
      </c>
      <c r="C127">
        <f t="shared" si="5"/>
        <v>0</v>
      </c>
      <c r="D127" s="5" t="s">
        <v>18</v>
      </c>
      <c r="H127" s="5"/>
      <c r="K127" s="2"/>
    </row>
    <row r="128" spans="1:11">
      <c r="A128">
        <f t="shared" si="3"/>
        <v>0</v>
      </c>
      <c r="B128">
        <f t="shared" si="4"/>
        <v>1</v>
      </c>
      <c r="C128">
        <f t="shared" si="5"/>
        <v>0</v>
      </c>
      <c r="D128" s="5" t="s">
        <v>18</v>
      </c>
      <c r="H128" s="5"/>
      <c r="K128" s="2"/>
    </row>
    <row r="129" spans="1:11">
      <c r="A129">
        <f t="shared" si="3"/>
        <v>0</v>
      </c>
      <c r="B129">
        <f t="shared" si="4"/>
        <v>1</v>
      </c>
      <c r="C129">
        <f t="shared" si="5"/>
        <v>0</v>
      </c>
      <c r="D129" s="5" t="s">
        <v>18</v>
      </c>
      <c r="H129" s="5"/>
      <c r="K129" s="2"/>
    </row>
    <row r="130" spans="1:11">
      <c r="A130">
        <f t="shared" si="3"/>
        <v>0</v>
      </c>
      <c r="B130">
        <f t="shared" si="4"/>
        <v>1</v>
      </c>
      <c r="C130">
        <f t="shared" si="5"/>
        <v>0</v>
      </c>
      <c r="D130" s="5" t="s">
        <v>18</v>
      </c>
      <c r="H130" s="5"/>
      <c r="K130" s="2"/>
    </row>
    <row r="131" spans="1:11">
      <c r="A131">
        <f t="shared" ref="A131:A194" si="6">IF(D131="Airport",1,0)</f>
        <v>0</v>
      </c>
      <c r="B131">
        <f t="shared" ref="B131:B194" si="7">IF(D131="High Street",1,0)</f>
        <v>1</v>
      </c>
      <c r="C131">
        <f t="shared" ref="C131:C194" si="8">IF(D131="Mall",1,0)</f>
        <v>0</v>
      </c>
      <c r="D131" s="5" t="s">
        <v>18</v>
      </c>
      <c r="H131" s="5"/>
      <c r="K131" s="2"/>
    </row>
    <row r="132" spans="1:11">
      <c r="A132">
        <f t="shared" si="6"/>
        <v>0</v>
      </c>
      <c r="B132">
        <f t="shared" si="7"/>
        <v>1</v>
      </c>
      <c r="C132">
        <f t="shared" si="8"/>
        <v>0</v>
      </c>
      <c r="D132" s="5" t="s">
        <v>18</v>
      </c>
      <c r="H132" s="5"/>
      <c r="K132" s="2"/>
    </row>
    <row r="133" spans="1:11">
      <c r="A133">
        <f t="shared" si="6"/>
        <v>0</v>
      </c>
      <c r="B133">
        <f t="shared" si="7"/>
        <v>1</v>
      </c>
      <c r="C133">
        <f t="shared" si="8"/>
        <v>0</v>
      </c>
      <c r="D133" s="5" t="s">
        <v>18</v>
      </c>
      <c r="H133" s="5"/>
      <c r="K133" s="2"/>
    </row>
    <row r="134" spans="1:11">
      <c r="A134">
        <f t="shared" si="6"/>
        <v>0</v>
      </c>
      <c r="B134">
        <f t="shared" si="7"/>
        <v>1</v>
      </c>
      <c r="C134">
        <f t="shared" si="8"/>
        <v>0</v>
      </c>
      <c r="D134" s="5" t="s">
        <v>18</v>
      </c>
      <c r="H134" s="5"/>
      <c r="K134" s="2"/>
    </row>
    <row r="135" spans="1:11">
      <c r="A135">
        <f t="shared" si="6"/>
        <v>0</v>
      </c>
      <c r="B135">
        <f t="shared" si="7"/>
        <v>1</v>
      </c>
      <c r="C135">
        <f t="shared" si="8"/>
        <v>0</v>
      </c>
      <c r="D135" s="5" t="s">
        <v>18</v>
      </c>
      <c r="H135" s="5"/>
      <c r="K135" s="2"/>
    </row>
    <row r="136" spans="1:11">
      <c r="A136">
        <f t="shared" si="6"/>
        <v>0</v>
      </c>
      <c r="B136">
        <f t="shared" si="7"/>
        <v>1</v>
      </c>
      <c r="C136">
        <f t="shared" si="8"/>
        <v>0</v>
      </c>
      <c r="D136" s="5" t="s">
        <v>18</v>
      </c>
      <c r="H136" s="5"/>
      <c r="K136" s="2"/>
    </row>
    <row r="137" spans="1:11">
      <c r="A137">
        <f t="shared" si="6"/>
        <v>0</v>
      </c>
      <c r="B137">
        <f t="shared" si="7"/>
        <v>1</v>
      </c>
      <c r="C137">
        <f t="shared" si="8"/>
        <v>0</v>
      </c>
      <c r="D137" s="5" t="s">
        <v>18</v>
      </c>
      <c r="H137" s="5"/>
      <c r="K137" s="2"/>
    </row>
    <row r="138" spans="1:11">
      <c r="A138">
        <f t="shared" si="6"/>
        <v>0</v>
      </c>
      <c r="B138">
        <f t="shared" si="7"/>
        <v>0</v>
      </c>
      <c r="C138">
        <f t="shared" si="8"/>
        <v>0</v>
      </c>
      <c r="D138" s="5" t="s">
        <v>16</v>
      </c>
      <c r="H138" s="5"/>
      <c r="K138" s="2"/>
    </row>
    <row r="139" spans="1:11">
      <c r="A139">
        <f t="shared" si="6"/>
        <v>0</v>
      </c>
      <c r="B139">
        <f t="shared" si="7"/>
        <v>0</v>
      </c>
      <c r="C139">
        <f t="shared" si="8"/>
        <v>0</v>
      </c>
      <c r="D139" s="5" t="s">
        <v>16</v>
      </c>
      <c r="H139" s="5"/>
      <c r="K139" s="2"/>
    </row>
    <row r="140" spans="1:11">
      <c r="A140">
        <f t="shared" si="6"/>
        <v>0</v>
      </c>
      <c r="B140">
        <f t="shared" si="7"/>
        <v>0</v>
      </c>
      <c r="C140">
        <f t="shared" si="8"/>
        <v>0</v>
      </c>
      <c r="D140" s="5" t="s">
        <v>16</v>
      </c>
      <c r="H140" s="5"/>
      <c r="K140" s="2"/>
    </row>
    <row r="141" spans="1:11">
      <c r="A141">
        <f t="shared" si="6"/>
        <v>0</v>
      </c>
      <c r="B141">
        <f t="shared" si="7"/>
        <v>0</v>
      </c>
      <c r="C141">
        <f t="shared" si="8"/>
        <v>0</v>
      </c>
      <c r="D141" s="5" t="s">
        <v>16</v>
      </c>
      <c r="H141" s="5"/>
      <c r="K141" s="2"/>
    </row>
    <row r="142" spans="1:11">
      <c r="A142">
        <f t="shared" si="6"/>
        <v>0</v>
      </c>
      <c r="B142">
        <f t="shared" si="7"/>
        <v>1</v>
      </c>
      <c r="C142">
        <f t="shared" si="8"/>
        <v>0</v>
      </c>
      <c r="D142" s="5" t="s">
        <v>18</v>
      </c>
      <c r="H142" s="5"/>
      <c r="K142" s="2"/>
    </row>
    <row r="143" spans="1:11">
      <c r="A143">
        <f t="shared" si="6"/>
        <v>0</v>
      </c>
      <c r="B143">
        <f t="shared" si="7"/>
        <v>1</v>
      </c>
      <c r="C143">
        <f t="shared" si="8"/>
        <v>0</v>
      </c>
      <c r="D143" s="5" t="s">
        <v>18</v>
      </c>
      <c r="H143" s="5"/>
      <c r="K143" s="2"/>
    </row>
    <row r="144" spans="1:11">
      <c r="A144">
        <f t="shared" si="6"/>
        <v>0</v>
      </c>
      <c r="B144">
        <f t="shared" si="7"/>
        <v>1</v>
      </c>
      <c r="C144">
        <f t="shared" si="8"/>
        <v>0</v>
      </c>
      <c r="D144" s="5" t="s">
        <v>18</v>
      </c>
      <c r="H144" s="5"/>
      <c r="K144" s="2"/>
    </row>
    <row r="145" spans="1:11">
      <c r="A145">
        <f t="shared" si="6"/>
        <v>0</v>
      </c>
      <c r="B145">
        <f t="shared" si="7"/>
        <v>1</v>
      </c>
      <c r="C145">
        <f t="shared" si="8"/>
        <v>0</v>
      </c>
      <c r="D145" s="5" t="s">
        <v>18</v>
      </c>
      <c r="H145" s="5"/>
      <c r="K145" s="2"/>
    </row>
    <row r="146" spans="1:11">
      <c r="A146">
        <f t="shared" si="6"/>
        <v>0</v>
      </c>
      <c r="B146">
        <f t="shared" si="7"/>
        <v>0</v>
      </c>
      <c r="C146">
        <f t="shared" si="8"/>
        <v>0</v>
      </c>
      <c r="D146" s="5" t="s">
        <v>16</v>
      </c>
      <c r="H146" s="5"/>
      <c r="K146" s="2"/>
    </row>
    <row r="147" spans="1:11">
      <c r="A147">
        <f t="shared" si="6"/>
        <v>0</v>
      </c>
      <c r="B147">
        <f t="shared" si="7"/>
        <v>0</v>
      </c>
      <c r="C147">
        <f t="shared" si="8"/>
        <v>0</v>
      </c>
      <c r="D147" s="5" t="s">
        <v>16</v>
      </c>
      <c r="H147" s="5"/>
      <c r="K147" s="2"/>
    </row>
    <row r="148" spans="1:11">
      <c r="A148">
        <f t="shared" si="6"/>
        <v>0</v>
      </c>
      <c r="B148">
        <f t="shared" si="7"/>
        <v>0</v>
      </c>
      <c r="C148">
        <f t="shared" si="8"/>
        <v>0</v>
      </c>
      <c r="D148" s="5" t="s">
        <v>16</v>
      </c>
      <c r="H148" s="5"/>
      <c r="K148" s="2"/>
    </row>
    <row r="149" spans="1:11">
      <c r="A149">
        <f t="shared" si="6"/>
        <v>0</v>
      </c>
      <c r="B149">
        <f t="shared" si="7"/>
        <v>0</v>
      </c>
      <c r="C149">
        <f t="shared" si="8"/>
        <v>0</v>
      </c>
      <c r="D149" s="5" t="s">
        <v>16</v>
      </c>
      <c r="H149" s="5"/>
      <c r="K149" s="2"/>
    </row>
    <row r="150" spans="1:11">
      <c r="A150">
        <f t="shared" si="6"/>
        <v>0</v>
      </c>
      <c r="B150">
        <f t="shared" si="7"/>
        <v>0</v>
      </c>
      <c r="C150">
        <f t="shared" si="8"/>
        <v>1</v>
      </c>
      <c r="D150" s="5" t="s">
        <v>28</v>
      </c>
      <c r="H150" s="5"/>
      <c r="K150" s="2"/>
    </row>
    <row r="151" spans="1:11">
      <c r="A151">
        <f t="shared" si="6"/>
        <v>0</v>
      </c>
      <c r="B151">
        <f t="shared" si="7"/>
        <v>0</v>
      </c>
      <c r="C151">
        <f t="shared" si="8"/>
        <v>1</v>
      </c>
      <c r="D151" s="5" t="s">
        <v>28</v>
      </c>
      <c r="H151" s="5"/>
      <c r="K151" s="2"/>
    </row>
    <row r="152" spans="1:11">
      <c r="A152">
        <f t="shared" si="6"/>
        <v>0</v>
      </c>
      <c r="B152">
        <f t="shared" si="7"/>
        <v>0</v>
      </c>
      <c r="C152">
        <f t="shared" si="8"/>
        <v>1</v>
      </c>
      <c r="D152" s="5" t="s">
        <v>28</v>
      </c>
      <c r="H152" s="5"/>
      <c r="K152" s="2"/>
    </row>
    <row r="153" spans="1:11">
      <c r="A153">
        <f t="shared" si="6"/>
        <v>0</v>
      </c>
      <c r="B153">
        <f t="shared" si="7"/>
        <v>0</v>
      </c>
      <c r="C153">
        <f t="shared" si="8"/>
        <v>1</v>
      </c>
      <c r="D153" s="5" t="s">
        <v>28</v>
      </c>
      <c r="H153" s="5"/>
      <c r="K153" s="2"/>
    </row>
    <row r="154" spans="1:11">
      <c r="A154">
        <f t="shared" si="6"/>
        <v>0</v>
      </c>
      <c r="B154">
        <f t="shared" si="7"/>
        <v>1</v>
      </c>
      <c r="C154">
        <f t="shared" si="8"/>
        <v>0</v>
      </c>
      <c r="D154" s="5" t="s">
        <v>18</v>
      </c>
      <c r="H154" s="5"/>
      <c r="K154" s="2"/>
    </row>
    <row r="155" spans="1:11">
      <c r="A155">
        <f t="shared" si="6"/>
        <v>0</v>
      </c>
      <c r="B155">
        <f t="shared" si="7"/>
        <v>1</v>
      </c>
      <c r="C155">
        <f t="shared" si="8"/>
        <v>0</v>
      </c>
      <c r="D155" s="5" t="s">
        <v>18</v>
      </c>
      <c r="H155" s="5"/>
      <c r="K155" s="2"/>
    </row>
    <row r="156" spans="1:11">
      <c r="A156">
        <f t="shared" si="6"/>
        <v>0</v>
      </c>
      <c r="B156">
        <f t="shared" si="7"/>
        <v>1</v>
      </c>
      <c r="C156">
        <f t="shared" si="8"/>
        <v>0</v>
      </c>
      <c r="D156" s="5" t="s">
        <v>18</v>
      </c>
      <c r="H156" s="5"/>
      <c r="K156" s="2"/>
    </row>
    <row r="157" spans="1:11">
      <c r="A157">
        <f t="shared" si="6"/>
        <v>0</v>
      </c>
      <c r="B157">
        <f t="shared" si="7"/>
        <v>1</v>
      </c>
      <c r="C157">
        <f t="shared" si="8"/>
        <v>0</v>
      </c>
      <c r="D157" s="5" t="s">
        <v>18</v>
      </c>
      <c r="H157" s="5"/>
      <c r="K157" s="2"/>
    </row>
    <row r="158" spans="1:11">
      <c r="A158">
        <f t="shared" si="6"/>
        <v>0</v>
      </c>
      <c r="B158">
        <f t="shared" si="7"/>
        <v>0</v>
      </c>
      <c r="C158">
        <f t="shared" si="8"/>
        <v>1</v>
      </c>
      <c r="D158" s="5" t="s">
        <v>28</v>
      </c>
      <c r="H158" s="5"/>
      <c r="K158" s="2"/>
    </row>
    <row r="159" spans="1:11">
      <c r="A159">
        <f t="shared" si="6"/>
        <v>0</v>
      </c>
      <c r="B159">
        <f t="shared" si="7"/>
        <v>0</v>
      </c>
      <c r="C159">
        <f t="shared" si="8"/>
        <v>1</v>
      </c>
      <c r="D159" s="5" t="s">
        <v>28</v>
      </c>
      <c r="H159" s="5"/>
      <c r="K159" s="2"/>
    </row>
    <row r="160" spans="1:11">
      <c r="A160">
        <f t="shared" si="6"/>
        <v>0</v>
      </c>
      <c r="B160">
        <f t="shared" si="7"/>
        <v>0</v>
      </c>
      <c r="C160">
        <f t="shared" si="8"/>
        <v>1</v>
      </c>
      <c r="D160" s="5" t="s">
        <v>28</v>
      </c>
      <c r="H160" s="5"/>
      <c r="K160" s="2"/>
    </row>
    <row r="161" spans="1:11">
      <c r="A161">
        <f t="shared" si="6"/>
        <v>0</v>
      </c>
      <c r="B161">
        <f t="shared" si="7"/>
        <v>0</v>
      </c>
      <c r="C161">
        <f t="shared" si="8"/>
        <v>1</v>
      </c>
      <c r="D161" s="5" t="s">
        <v>28</v>
      </c>
      <c r="H161" s="5"/>
      <c r="K161" s="2"/>
    </row>
    <row r="162" spans="1:11">
      <c r="A162">
        <f t="shared" si="6"/>
        <v>0</v>
      </c>
      <c r="B162">
        <f t="shared" si="7"/>
        <v>1</v>
      </c>
      <c r="C162">
        <f t="shared" si="8"/>
        <v>0</v>
      </c>
      <c r="D162" s="5" t="s">
        <v>18</v>
      </c>
      <c r="H162" s="5"/>
      <c r="K162" s="2"/>
    </row>
    <row r="163" spans="1:11">
      <c r="A163">
        <f t="shared" si="6"/>
        <v>0</v>
      </c>
      <c r="B163">
        <f t="shared" si="7"/>
        <v>1</v>
      </c>
      <c r="C163">
        <f t="shared" si="8"/>
        <v>0</v>
      </c>
      <c r="D163" s="5" t="s">
        <v>18</v>
      </c>
      <c r="H163" s="5"/>
      <c r="K163" s="2"/>
    </row>
    <row r="164" spans="1:11">
      <c r="A164">
        <f t="shared" si="6"/>
        <v>0</v>
      </c>
      <c r="B164">
        <f t="shared" si="7"/>
        <v>1</v>
      </c>
      <c r="C164">
        <f t="shared" si="8"/>
        <v>0</v>
      </c>
      <c r="D164" s="5" t="s">
        <v>18</v>
      </c>
      <c r="H164" s="5"/>
      <c r="K164" s="2"/>
    </row>
    <row r="165" spans="1:11">
      <c r="A165">
        <f t="shared" si="6"/>
        <v>0</v>
      </c>
      <c r="B165">
        <f t="shared" si="7"/>
        <v>1</v>
      </c>
      <c r="C165">
        <f t="shared" si="8"/>
        <v>0</v>
      </c>
      <c r="D165" s="5" t="s">
        <v>18</v>
      </c>
      <c r="H165" s="5"/>
      <c r="K165" s="2"/>
    </row>
    <row r="166" spans="1:11">
      <c r="A166">
        <f t="shared" si="6"/>
        <v>0</v>
      </c>
      <c r="B166">
        <f t="shared" si="7"/>
        <v>0</v>
      </c>
      <c r="C166">
        <f t="shared" si="8"/>
        <v>1</v>
      </c>
      <c r="D166" s="5" t="s">
        <v>28</v>
      </c>
      <c r="H166" s="5"/>
      <c r="K166" s="2"/>
    </row>
    <row r="167" spans="1:11">
      <c r="A167">
        <f t="shared" si="6"/>
        <v>0</v>
      </c>
      <c r="B167">
        <f t="shared" si="7"/>
        <v>0</v>
      </c>
      <c r="C167">
        <f t="shared" si="8"/>
        <v>1</v>
      </c>
      <c r="D167" s="5" t="s">
        <v>28</v>
      </c>
      <c r="H167" s="5"/>
      <c r="K167" s="2"/>
    </row>
    <row r="168" spans="1:11">
      <c r="A168">
        <f t="shared" si="6"/>
        <v>0</v>
      </c>
      <c r="B168">
        <f t="shared" si="7"/>
        <v>0</v>
      </c>
      <c r="C168">
        <f t="shared" si="8"/>
        <v>1</v>
      </c>
      <c r="D168" s="5" t="s">
        <v>28</v>
      </c>
      <c r="H168" s="5"/>
      <c r="K168" s="2"/>
    </row>
    <row r="169" spans="1:11">
      <c r="A169">
        <f t="shared" si="6"/>
        <v>0</v>
      </c>
      <c r="B169">
        <f t="shared" si="7"/>
        <v>0</v>
      </c>
      <c r="C169">
        <f t="shared" si="8"/>
        <v>1</v>
      </c>
      <c r="D169" s="5" t="s">
        <v>28</v>
      </c>
      <c r="H169" s="5"/>
      <c r="K169" s="2"/>
    </row>
    <row r="170" spans="1:11">
      <c r="A170">
        <f t="shared" si="6"/>
        <v>0</v>
      </c>
      <c r="B170">
        <f t="shared" si="7"/>
        <v>0</v>
      </c>
      <c r="C170">
        <f t="shared" si="8"/>
        <v>0</v>
      </c>
      <c r="D170" s="5" t="s">
        <v>16</v>
      </c>
      <c r="H170" s="5"/>
      <c r="K170" s="2"/>
    </row>
    <row r="171" spans="1:11">
      <c r="A171">
        <f t="shared" si="6"/>
        <v>0</v>
      </c>
      <c r="B171">
        <f t="shared" si="7"/>
        <v>0</v>
      </c>
      <c r="C171">
        <f t="shared" si="8"/>
        <v>0</v>
      </c>
      <c r="D171" s="5" t="s">
        <v>16</v>
      </c>
      <c r="H171" s="5"/>
      <c r="K171" s="2"/>
    </row>
    <row r="172" spans="1:11">
      <c r="A172">
        <f t="shared" si="6"/>
        <v>0</v>
      </c>
      <c r="B172">
        <f t="shared" si="7"/>
        <v>0</v>
      </c>
      <c r="C172">
        <f t="shared" si="8"/>
        <v>0</v>
      </c>
      <c r="D172" s="5" t="s">
        <v>16</v>
      </c>
      <c r="H172" s="5"/>
      <c r="K172" s="2"/>
    </row>
    <row r="173" spans="1:11">
      <c r="A173">
        <f t="shared" si="6"/>
        <v>0</v>
      </c>
      <c r="B173">
        <f t="shared" si="7"/>
        <v>0</v>
      </c>
      <c r="C173">
        <f t="shared" si="8"/>
        <v>0</v>
      </c>
      <c r="D173" s="5" t="s">
        <v>16</v>
      </c>
      <c r="H173" s="5"/>
      <c r="K173" s="2"/>
    </row>
    <row r="174" spans="1:11">
      <c r="A174">
        <f t="shared" si="6"/>
        <v>0</v>
      </c>
      <c r="B174">
        <f t="shared" si="7"/>
        <v>0</v>
      </c>
      <c r="C174">
        <f t="shared" si="8"/>
        <v>0</v>
      </c>
      <c r="D174" s="5" t="s">
        <v>16</v>
      </c>
      <c r="H174" s="5"/>
      <c r="K174" s="2"/>
    </row>
    <row r="175" spans="1:11">
      <c r="A175">
        <f t="shared" si="6"/>
        <v>0</v>
      </c>
      <c r="B175">
        <f t="shared" si="7"/>
        <v>0</v>
      </c>
      <c r="C175">
        <f t="shared" si="8"/>
        <v>0</v>
      </c>
      <c r="D175" s="5" t="s">
        <v>16</v>
      </c>
      <c r="H175" s="5"/>
      <c r="K175" s="2"/>
    </row>
    <row r="176" spans="1:11">
      <c r="A176">
        <f t="shared" si="6"/>
        <v>0</v>
      </c>
      <c r="B176">
        <f t="shared" si="7"/>
        <v>0</v>
      </c>
      <c r="C176">
        <f t="shared" si="8"/>
        <v>0</v>
      </c>
      <c r="D176" s="5" t="s">
        <v>16</v>
      </c>
      <c r="H176" s="5"/>
      <c r="K176" s="2"/>
    </row>
    <row r="177" spans="1:11">
      <c r="A177">
        <f t="shared" si="6"/>
        <v>0</v>
      </c>
      <c r="B177">
        <f t="shared" si="7"/>
        <v>0</v>
      </c>
      <c r="C177">
        <f t="shared" si="8"/>
        <v>0</v>
      </c>
      <c r="D177" s="5" t="s">
        <v>16</v>
      </c>
      <c r="H177" s="5"/>
      <c r="K177" s="2"/>
    </row>
    <row r="178" spans="1:11">
      <c r="A178">
        <f t="shared" si="6"/>
        <v>1</v>
      </c>
      <c r="B178">
        <f t="shared" si="7"/>
        <v>0</v>
      </c>
      <c r="C178">
        <f t="shared" si="8"/>
        <v>0</v>
      </c>
      <c r="D178" s="5" t="s">
        <v>21</v>
      </c>
      <c r="H178" s="5"/>
      <c r="K178" s="2"/>
    </row>
    <row r="179" spans="1:11">
      <c r="A179">
        <f t="shared" si="6"/>
        <v>1</v>
      </c>
      <c r="B179">
        <f t="shared" si="7"/>
        <v>0</v>
      </c>
      <c r="C179">
        <f t="shared" si="8"/>
        <v>0</v>
      </c>
      <c r="D179" s="5" t="s">
        <v>21</v>
      </c>
      <c r="H179" s="5"/>
      <c r="K179" s="2"/>
    </row>
    <row r="180" spans="1:11">
      <c r="A180">
        <f t="shared" si="6"/>
        <v>1</v>
      </c>
      <c r="B180">
        <f t="shared" si="7"/>
        <v>0</v>
      </c>
      <c r="C180">
        <f t="shared" si="8"/>
        <v>0</v>
      </c>
      <c r="D180" s="5" t="s">
        <v>21</v>
      </c>
      <c r="H180" s="5"/>
      <c r="K180" s="2"/>
    </row>
    <row r="181" spans="1:11">
      <c r="A181">
        <f t="shared" si="6"/>
        <v>1</v>
      </c>
      <c r="B181">
        <f t="shared" si="7"/>
        <v>0</v>
      </c>
      <c r="C181">
        <f t="shared" si="8"/>
        <v>0</v>
      </c>
      <c r="D181" s="5" t="s">
        <v>21</v>
      </c>
      <c r="H181" s="5"/>
      <c r="K181" s="2"/>
    </row>
    <row r="182" spans="1:11">
      <c r="A182">
        <f t="shared" si="6"/>
        <v>0</v>
      </c>
      <c r="B182">
        <f t="shared" si="7"/>
        <v>0</v>
      </c>
      <c r="C182">
        <f t="shared" si="8"/>
        <v>0</v>
      </c>
      <c r="D182" s="5" t="s">
        <v>16</v>
      </c>
      <c r="H182" s="5"/>
      <c r="K182" s="2"/>
    </row>
    <row r="183" spans="1:11">
      <c r="A183">
        <f t="shared" si="6"/>
        <v>0</v>
      </c>
      <c r="B183">
        <f t="shared" si="7"/>
        <v>0</v>
      </c>
      <c r="C183">
        <f t="shared" si="8"/>
        <v>0</v>
      </c>
      <c r="D183" s="5" t="s">
        <v>16</v>
      </c>
      <c r="H183" s="5"/>
      <c r="K183" s="2"/>
    </row>
    <row r="184" spans="1:11">
      <c r="A184">
        <f t="shared" si="6"/>
        <v>0</v>
      </c>
      <c r="B184">
        <f t="shared" si="7"/>
        <v>0</v>
      </c>
      <c r="C184">
        <f t="shared" si="8"/>
        <v>0</v>
      </c>
      <c r="D184" s="5" t="s">
        <v>16</v>
      </c>
      <c r="H184" s="5"/>
      <c r="K184" s="2"/>
    </row>
    <row r="185" spans="1:11">
      <c r="A185">
        <f t="shared" si="6"/>
        <v>0</v>
      </c>
      <c r="B185">
        <f t="shared" si="7"/>
        <v>0</v>
      </c>
      <c r="C185">
        <f t="shared" si="8"/>
        <v>0</v>
      </c>
      <c r="D185" s="5" t="s">
        <v>16</v>
      </c>
      <c r="H185" s="5"/>
      <c r="K185" s="2"/>
    </row>
    <row r="186" spans="1:11">
      <c r="A186">
        <f t="shared" si="6"/>
        <v>0</v>
      </c>
      <c r="B186">
        <f t="shared" si="7"/>
        <v>1</v>
      </c>
      <c r="C186">
        <f t="shared" si="8"/>
        <v>0</v>
      </c>
      <c r="D186" s="5" t="s">
        <v>18</v>
      </c>
      <c r="H186" s="5"/>
      <c r="K186" s="2"/>
    </row>
    <row r="187" spans="1:11">
      <c r="A187">
        <f t="shared" si="6"/>
        <v>0</v>
      </c>
      <c r="B187">
        <f t="shared" si="7"/>
        <v>1</v>
      </c>
      <c r="C187">
        <f t="shared" si="8"/>
        <v>0</v>
      </c>
      <c r="D187" s="5" t="s">
        <v>18</v>
      </c>
      <c r="H187" s="5"/>
      <c r="K187" s="2"/>
    </row>
    <row r="188" spans="1:11">
      <c r="A188">
        <f t="shared" si="6"/>
        <v>0</v>
      </c>
      <c r="B188">
        <f t="shared" si="7"/>
        <v>1</v>
      </c>
      <c r="C188">
        <f t="shared" si="8"/>
        <v>0</v>
      </c>
      <c r="D188" s="5" t="s">
        <v>18</v>
      </c>
      <c r="H188" s="5"/>
      <c r="K188" s="2"/>
    </row>
    <row r="189" spans="1:11">
      <c r="A189">
        <f t="shared" si="6"/>
        <v>0</v>
      </c>
      <c r="B189">
        <f t="shared" si="7"/>
        <v>1</v>
      </c>
      <c r="C189">
        <f t="shared" si="8"/>
        <v>0</v>
      </c>
      <c r="D189" s="5" t="s">
        <v>18</v>
      </c>
      <c r="H189" s="5"/>
      <c r="K189" s="2"/>
    </row>
    <row r="190" spans="1:11">
      <c r="A190">
        <f t="shared" si="6"/>
        <v>0</v>
      </c>
      <c r="B190">
        <f t="shared" si="7"/>
        <v>1</v>
      </c>
      <c r="C190">
        <f t="shared" si="8"/>
        <v>0</v>
      </c>
      <c r="D190" s="5" t="s">
        <v>18</v>
      </c>
      <c r="H190" s="5"/>
      <c r="K190" s="2"/>
    </row>
    <row r="191" spans="1:11">
      <c r="A191">
        <f t="shared" si="6"/>
        <v>0</v>
      </c>
      <c r="B191">
        <f t="shared" si="7"/>
        <v>1</v>
      </c>
      <c r="C191">
        <f t="shared" si="8"/>
        <v>0</v>
      </c>
      <c r="D191" s="5" t="s">
        <v>18</v>
      </c>
      <c r="H191" s="5"/>
      <c r="K191" s="2"/>
    </row>
    <row r="192" spans="1:11">
      <c r="A192">
        <f t="shared" si="6"/>
        <v>0</v>
      </c>
      <c r="B192">
        <f t="shared" si="7"/>
        <v>1</v>
      </c>
      <c r="C192">
        <f t="shared" si="8"/>
        <v>0</v>
      </c>
      <c r="D192" s="5" t="s">
        <v>18</v>
      </c>
      <c r="H192" s="5"/>
      <c r="K192" s="2"/>
    </row>
    <row r="193" spans="1:11">
      <c r="A193">
        <f t="shared" si="6"/>
        <v>0</v>
      </c>
      <c r="B193">
        <f t="shared" si="7"/>
        <v>1</v>
      </c>
      <c r="C193">
        <f t="shared" si="8"/>
        <v>0</v>
      </c>
      <c r="D193" s="5" t="s">
        <v>18</v>
      </c>
      <c r="H193" s="5"/>
      <c r="K193" s="2"/>
    </row>
    <row r="194" spans="1:11">
      <c r="A194">
        <f t="shared" si="6"/>
        <v>0</v>
      </c>
      <c r="B194">
        <f t="shared" si="7"/>
        <v>0</v>
      </c>
      <c r="C194">
        <f t="shared" si="8"/>
        <v>0</v>
      </c>
      <c r="D194" s="5" t="s">
        <v>16</v>
      </c>
      <c r="H194" s="5"/>
      <c r="K194" s="2"/>
    </row>
    <row r="195" spans="1:11">
      <c r="A195">
        <f t="shared" ref="A195:A258" si="9">IF(D195="Airport",1,0)</f>
        <v>0</v>
      </c>
      <c r="B195">
        <f t="shared" ref="B195:B258" si="10">IF(D195="High Street",1,0)</f>
        <v>0</v>
      </c>
      <c r="C195">
        <f t="shared" ref="C195:C258" si="11">IF(D195="Mall",1,0)</f>
        <v>0</v>
      </c>
      <c r="D195" s="5" t="s">
        <v>16</v>
      </c>
      <c r="H195" s="5"/>
      <c r="K195" s="2"/>
    </row>
    <row r="196" spans="1:11">
      <c r="A196">
        <f t="shared" si="9"/>
        <v>0</v>
      </c>
      <c r="B196">
        <f t="shared" si="10"/>
        <v>0</v>
      </c>
      <c r="C196">
        <f t="shared" si="11"/>
        <v>0</v>
      </c>
      <c r="D196" s="5" t="s">
        <v>16</v>
      </c>
      <c r="H196" s="5"/>
      <c r="K196" s="2"/>
    </row>
    <row r="197" spans="1:11">
      <c r="A197">
        <f t="shared" si="9"/>
        <v>0</v>
      </c>
      <c r="B197">
        <f t="shared" si="10"/>
        <v>0</v>
      </c>
      <c r="C197">
        <f t="shared" si="11"/>
        <v>0</v>
      </c>
      <c r="D197" s="5" t="s">
        <v>16</v>
      </c>
      <c r="H197" s="5"/>
      <c r="K197" s="2"/>
    </row>
    <row r="198" spans="1:11">
      <c r="A198">
        <f t="shared" si="9"/>
        <v>0</v>
      </c>
      <c r="B198">
        <f t="shared" si="10"/>
        <v>0</v>
      </c>
      <c r="C198">
        <f t="shared" si="11"/>
        <v>0</v>
      </c>
      <c r="D198" s="5" t="s">
        <v>16</v>
      </c>
      <c r="H198" s="5"/>
      <c r="K198" s="2"/>
    </row>
    <row r="199" spans="1:11">
      <c r="A199">
        <f t="shared" si="9"/>
        <v>0</v>
      </c>
      <c r="B199">
        <f t="shared" si="10"/>
        <v>0</v>
      </c>
      <c r="C199">
        <f t="shared" si="11"/>
        <v>0</v>
      </c>
      <c r="D199" s="5" t="s">
        <v>16</v>
      </c>
      <c r="H199" s="5"/>
      <c r="K199" s="2"/>
    </row>
    <row r="200" spans="1:11">
      <c r="A200">
        <f t="shared" si="9"/>
        <v>0</v>
      </c>
      <c r="B200">
        <f t="shared" si="10"/>
        <v>0</v>
      </c>
      <c r="C200">
        <f t="shared" si="11"/>
        <v>0</v>
      </c>
      <c r="D200" s="5" t="s">
        <v>16</v>
      </c>
      <c r="H200" s="5"/>
      <c r="K200" s="2"/>
    </row>
    <row r="201" spans="1:11">
      <c r="A201">
        <f t="shared" si="9"/>
        <v>0</v>
      </c>
      <c r="B201">
        <f t="shared" si="10"/>
        <v>0</v>
      </c>
      <c r="C201">
        <f t="shared" si="11"/>
        <v>0</v>
      </c>
      <c r="D201" s="5" t="s">
        <v>16</v>
      </c>
      <c r="H201" s="5"/>
      <c r="K201" s="2"/>
    </row>
    <row r="202" spans="1:11">
      <c r="A202">
        <f t="shared" si="9"/>
        <v>1</v>
      </c>
      <c r="B202">
        <f t="shared" si="10"/>
        <v>0</v>
      </c>
      <c r="C202">
        <f t="shared" si="11"/>
        <v>0</v>
      </c>
      <c r="D202" s="5" t="s">
        <v>21</v>
      </c>
      <c r="H202" s="5"/>
      <c r="K202" s="2"/>
    </row>
    <row r="203" spans="1:11">
      <c r="A203">
        <f t="shared" si="9"/>
        <v>1</v>
      </c>
      <c r="B203">
        <f t="shared" si="10"/>
        <v>0</v>
      </c>
      <c r="C203">
        <f t="shared" si="11"/>
        <v>0</v>
      </c>
      <c r="D203" s="5" t="s">
        <v>21</v>
      </c>
      <c r="H203" s="5"/>
      <c r="K203" s="2"/>
    </row>
    <row r="204" spans="1:11">
      <c r="A204">
        <f t="shared" si="9"/>
        <v>1</v>
      </c>
      <c r="B204">
        <f t="shared" si="10"/>
        <v>0</v>
      </c>
      <c r="C204">
        <f t="shared" si="11"/>
        <v>0</v>
      </c>
      <c r="D204" s="5" t="s">
        <v>21</v>
      </c>
      <c r="H204" s="5"/>
      <c r="K204" s="2"/>
    </row>
    <row r="205" spans="1:11">
      <c r="A205">
        <f t="shared" si="9"/>
        <v>1</v>
      </c>
      <c r="B205">
        <f t="shared" si="10"/>
        <v>0</v>
      </c>
      <c r="C205">
        <f t="shared" si="11"/>
        <v>0</v>
      </c>
      <c r="D205" s="5" t="s">
        <v>21</v>
      </c>
      <c r="H205" s="5"/>
      <c r="K205" s="2"/>
    </row>
    <row r="206" spans="1:11">
      <c r="A206">
        <f t="shared" si="9"/>
        <v>0</v>
      </c>
      <c r="B206">
        <f t="shared" si="10"/>
        <v>0</v>
      </c>
      <c r="C206">
        <f t="shared" si="11"/>
        <v>1</v>
      </c>
      <c r="D206" s="5" t="s">
        <v>28</v>
      </c>
      <c r="H206" s="5"/>
      <c r="K206" s="2"/>
    </row>
    <row r="207" spans="1:11">
      <c r="A207">
        <f t="shared" si="9"/>
        <v>0</v>
      </c>
      <c r="B207">
        <f t="shared" si="10"/>
        <v>0</v>
      </c>
      <c r="C207">
        <f t="shared" si="11"/>
        <v>1</v>
      </c>
      <c r="D207" s="5" t="s">
        <v>28</v>
      </c>
      <c r="H207" s="5"/>
      <c r="K207" s="2"/>
    </row>
    <row r="208" spans="1:11">
      <c r="A208">
        <f t="shared" si="9"/>
        <v>0</v>
      </c>
      <c r="B208">
        <f t="shared" si="10"/>
        <v>0</v>
      </c>
      <c r="C208">
        <f t="shared" si="11"/>
        <v>1</v>
      </c>
      <c r="D208" s="5" t="s">
        <v>28</v>
      </c>
      <c r="H208" s="5"/>
      <c r="K208" s="2"/>
    </row>
    <row r="209" spans="1:11">
      <c r="A209">
        <f t="shared" si="9"/>
        <v>0</v>
      </c>
      <c r="B209">
        <f t="shared" si="10"/>
        <v>0</v>
      </c>
      <c r="C209">
        <f t="shared" si="11"/>
        <v>1</v>
      </c>
      <c r="D209" s="5" t="s">
        <v>28</v>
      </c>
      <c r="H209" s="5"/>
      <c r="K209" s="2"/>
    </row>
    <row r="210" spans="1:11">
      <c r="A210">
        <f t="shared" si="9"/>
        <v>0</v>
      </c>
      <c r="B210">
        <f t="shared" si="10"/>
        <v>1</v>
      </c>
      <c r="C210">
        <f t="shared" si="11"/>
        <v>0</v>
      </c>
      <c r="D210" s="5" t="s">
        <v>18</v>
      </c>
      <c r="H210" s="5"/>
      <c r="K210" s="2"/>
    </row>
    <row r="211" spans="1:11">
      <c r="A211">
        <f t="shared" si="9"/>
        <v>0</v>
      </c>
      <c r="B211">
        <f t="shared" si="10"/>
        <v>1</v>
      </c>
      <c r="C211">
        <f t="shared" si="11"/>
        <v>0</v>
      </c>
      <c r="D211" s="5" t="s">
        <v>18</v>
      </c>
      <c r="H211" s="5"/>
      <c r="K211" s="2"/>
    </row>
    <row r="212" spans="1:11">
      <c r="A212">
        <f t="shared" si="9"/>
        <v>0</v>
      </c>
      <c r="B212">
        <f t="shared" si="10"/>
        <v>1</v>
      </c>
      <c r="C212">
        <f t="shared" si="11"/>
        <v>0</v>
      </c>
      <c r="D212" s="5" t="s">
        <v>18</v>
      </c>
      <c r="H212" s="5"/>
      <c r="K212" s="2"/>
    </row>
    <row r="213" spans="1:11">
      <c r="A213">
        <f t="shared" si="9"/>
        <v>0</v>
      </c>
      <c r="B213">
        <f t="shared" si="10"/>
        <v>1</v>
      </c>
      <c r="C213">
        <f t="shared" si="11"/>
        <v>0</v>
      </c>
      <c r="D213" s="5" t="s">
        <v>18</v>
      </c>
      <c r="H213" s="5"/>
      <c r="K213" s="2"/>
    </row>
    <row r="214" spans="1:11">
      <c r="A214">
        <f t="shared" si="9"/>
        <v>0</v>
      </c>
      <c r="B214">
        <f t="shared" si="10"/>
        <v>0</v>
      </c>
      <c r="C214">
        <f t="shared" si="11"/>
        <v>0</v>
      </c>
      <c r="D214" s="5" t="s">
        <v>16</v>
      </c>
      <c r="H214" s="5"/>
      <c r="K214" s="2"/>
    </row>
    <row r="215" spans="1:11">
      <c r="A215">
        <f t="shared" si="9"/>
        <v>0</v>
      </c>
      <c r="B215">
        <f t="shared" si="10"/>
        <v>0</v>
      </c>
      <c r="C215">
        <f t="shared" si="11"/>
        <v>0</v>
      </c>
      <c r="D215" s="5" t="s">
        <v>16</v>
      </c>
      <c r="H215" s="5"/>
      <c r="K215" s="2"/>
    </row>
    <row r="216" spans="1:11">
      <c r="A216">
        <f t="shared" si="9"/>
        <v>0</v>
      </c>
      <c r="B216">
        <f t="shared" si="10"/>
        <v>0</v>
      </c>
      <c r="C216">
        <f t="shared" si="11"/>
        <v>0</v>
      </c>
      <c r="D216" s="5" t="s">
        <v>16</v>
      </c>
      <c r="H216" s="5"/>
      <c r="K216" s="2"/>
    </row>
    <row r="217" spans="1:11">
      <c r="A217">
        <f t="shared" si="9"/>
        <v>0</v>
      </c>
      <c r="B217">
        <f t="shared" si="10"/>
        <v>0</v>
      </c>
      <c r="C217">
        <f t="shared" si="11"/>
        <v>0</v>
      </c>
      <c r="D217" s="5" t="s">
        <v>16</v>
      </c>
      <c r="H217" s="5"/>
      <c r="K217" s="2"/>
    </row>
    <row r="218" spans="1:11">
      <c r="A218">
        <f t="shared" si="9"/>
        <v>1</v>
      </c>
      <c r="B218">
        <f t="shared" si="10"/>
        <v>0</v>
      </c>
      <c r="C218">
        <f t="shared" si="11"/>
        <v>0</v>
      </c>
      <c r="D218" s="5" t="s">
        <v>21</v>
      </c>
      <c r="H218" s="5"/>
      <c r="K218" s="2"/>
    </row>
    <row r="219" spans="1:11">
      <c r="A219">
        <f t="shared" si="9"/>
        <v>1</v>
      </c>
      <c r="B219">
        <f t="shared" si="10"/>
        <v>0</v>
      </c>
      <c r="C219">
        <f t="shared" si="11"/>
        <v>0</v>
      </c>
      <c r="D219" s="5" t="s">
        <v>21</v>
      </c>
      <c r="H219" s="5"/>
      <c r="K219" s="2"/>
    </row>
    <row r="220" spans="1:11">
      <c r="A220">
        <f t="shared" si="9"/>
        <v>1</v>
      </c>
      <c r="B220">
        <f t="shared" si="10"/>
        <v>0</v>
      </c>
      <c r="C220">
        <f t="shared" si="11"/>
        <v>0</v>
      </c>
      <c r="D220" s="5" t="s">
        <v>21</v>
      </c>
      <c r="H220" s="5"/>
      <c r="K220" s="2"/>
    </row>
    <row r="221" spans="1:11">
      <c r="A221">
        <f t="shared" si="9"/>
        <v>1</v>
      </c>
      <c r="B221">
        <f t="shared" si="10"/>
        <v>0</v>
      </c>
      <c r="C221">
        <f t="shared" si="11"/>
        <v>0</v>
      </c>
      <c r="D221" s="5" t="s">
        <v>21</v>
      </c>
      <c r="H221" s="5"/>
      <c r="K221" s="2"/>
    </row>
    <row r="222" spans="1:11">
      <c r="A222">
        <f t="shared" si="9"/>
        <v>0</v>
      </c>
      <c r="B222">
        <f t="shared" si="10"/>
        <v>1</v>
      </c>
      <c r="C222">
        <f t="shared" si="11"/>
        <v>0</v>
      </c>
      <c r="D222" s="5" t="s">
        <v>18</v>
      </c>
      <c r="H222" s="5"/>
      <c r="K222" s="2"/>
    </row>
    <row r="223" spans="1:11">
      <c r="A223">
        <f t="shared" si="9"/>
        <v>0</v>
      </c>
      <c r="B223">
        <f t="shared" si="10"/>
        <v>1</v>
      </c>
      <c r="C223">
        <f t="shared" si="11"/>
        <v>0</v>
      </c>
      <c r="D223" s="5" t="s">
        <v>18</v>
      </c>
      <c r="H223" s="5"/>
      <c r="K223" s="2"/>
    </row>
    <row r="224" spans="1:11">
      <c r="A224">
        <f t="shared" si="9"/>
        <v>0</v>
      </c>
      <c r="B224">
        <f t="shared" si="10"/>
        <v>1</v>
      </c>
      <c r="C224">
        <f t="shared" si="11"/>
        <v>0</v>
      </c>
      <c r="D224" s="5" t="s">
        <v>18</v>
      </c>
      <c r="H224" s="5"/>
      <c r="K224" s="2"/>
    </row>
    <row r="225" spans="1:11">
      <c r="A225">
        <f t="shared" si="9"/>
        <v>0</v>
      </c>
      <c r="B225">
        <f t="shared" si="10"/>
        <v>1</v>
      </c>
      <c r="C225">
        <f t="shared" si="11"/>
        <v>0</v>
      </c>
      <c r="D225" s="5" t="s">
        <v>18</v>
      </c>
      <c r="H225" s="5"/>
      <c r="K225" s="2"/>
    </row>
    <row r="226" spans="1:11">
      <c r="A226">
        <f t="shared" si="9"/>
        <v>0</v>
      </c>
      <c r="B226">
        <f t="shared" si="10"/>
        <v>0</v>
      </c>
      <c r="C226">
        <f t="shared" si="11"/>
        <v>1</v>
      </c>
      <c r="D226" s="5" t="s">
        <v>28</v>
      </c>
      <c r="H226" s="5"/>
      <c r="K226" s="2"/>
    </row>
    <row r="227" spans="1:11">
      <c r="A227">
        <f t="shared" si="9"/>
        <v>0</v>
      </c>
      <c r="B227">
        <f t="shared" si="10"/>
        <v>0</v>
      </c>
      <c r="C227">
        <f t="shared" si="11"/>
        <v>1</v>
      </c>
      <c r="D227" s="5" t="s">
        <v>28</v>
      </c>
      <c r="H227" s="5"/>
      <c r="K227" s="2"/>
    </row>
    <row r="228" spans="1:11">
      <c r="A228">
        <f t="shared" si="9"/>
        <v>0</v>
      </c>
      <c r="B228">
        <f t="shared" si="10"/>
        <v>0</v>
      </c>
      <c r="C228">
        <f t="shared" si="11"/>
        <v>1</v>
      </c>
      <c r="D228" s="5" t="s">
        <v>28</v>
      </c>
      <c r="H228" s="5"/>
      <c r="K228" s="2"/>
    </row>
    <row r="229" spans="1:11">
      <c r="A229">
        <f t="shared" si="9"/>
        <v>0</v>
      </c>
      <c r="B229">
        <f t="shared" si="10"/>
        <v>0</v>
      </c>
      <c r="C229">
        <f t="shared" si="11"/>
        <v>1</v>
      </c>
      <c r="D229" s="5" t="s">
        <v>28</v>
      </c>
      <c r="H229" s="5"/>
      <c r="K229" s="2"/>
    </row>
    <row r="230" spans="1:11">
      <c r="A230">
        <f t="shared" si="9"/>
        <v>0</v>
      </c>
      <c r="B230">
        <f t="shared" si="10"/>
        <v>1</v>
      </c>
      <c r="C230">
        <f t="shared" si="11"/>
        <v>0</v>
      </c>
      <c r="D230" s="5" t="s">
        <v>18</v>
      </c>
      <c r="H230" s="5"/>
      <c r="K230" s="2"/>
    </row>
    <row r="231" spans="1:11">
      <c r="A231">
        <f t="shared" si="9"/>
        <v>0</v>
      </c>
      <c r="B231">
        <f t="shared" si="10"/>
        <v>1</v>
      </c>
      <c r="C231">
        <f t="shared" si="11"/>
        <v>0</v>
      </c>
      <c r="D231" s="5" t="s">
        <v>18</v>
      </c>
      <c r="H231" s="5"/>
      <c r="K231" s="2"/>
    </row>
    <row r="232" spans="1:11">
      <c r="A232">
        <f t="shared" si="9"/>
        <v>0</v>
      </c>
      <c r="B232">
        <f t="shared" si="10"/>
        <v>1</v>
      </c>
      <c r="C232">
        <f t="shared" si="11"/>
        <v>0</v>
      </c>
      <c r="D232" s="5" t="s">
        <v>18</v>
      </c>
      <c r="H232" s="5"/>
      <c r="K232" s="2"/>
    </row>
    <row r="233" spans="1:11">
      <c r="A233">
        <f t="shared" si="9"/>
        <v>0</v>
      </c>
      <c r="B233">
        <f t="shared" si="10"/>
        <v>1</v>
      </c>
      <c r="C233">
        <f t="shared" si="11"/>
        <v>0</v>
      </c>
      <c r="D233" s="5" t="s">
        <v>18</v>
      </c>
      <c r="H233" s="5"/>
      <c r="K233" s="2"/>
    </row>
    <row r="234" spans="1:11">
      <c r="A234">
        <f t="shared" si="9"/>
        <v>0</v>
      </c>
      <c r="B234">
        <f t="shared" si="10"/>
        <v>0</v>
      </c>
      <c r="C234">
        <f t="shared" si="11"/>
        <v>0</v>
      </c>
      <c r="D234" s="5" t="s">
        <v>16</v>
      </c>
      <c r="H234" s="5"/>
      <c r="K234" s="2"/>
    </row>
    <row r="235" spans="1:11">
      <c r="A235">
        <f t="shared" si="9"/>
        <v>0</v>
      </c>
      <c r="B235">
        <f t="shared" si="10"/>
        <v>0</v>
      </c>
      <c r="C235">
        <f t="shared" si="11"/>
        <v>0</v>
      </c>
      <c r="D235" s="5" t="s">
        <v>16</v>
      </c>
      <c r="H235" s="5"/>
      <c r="K235" s="2"/>
    </row>
    <row r="236" spans="1:11">
      <c r="A236">
        <f t="shared" si="9"/>
        <v>0</v>
      </c>
      <c r="B236">
        <f t="shared" si="10"/>
        <v>0</v>
      </c>
      <c r="C236">
        <f t="shared" si="11"/>
        <v>0</v>
      </c>
      <c r="D236" s="5" t="s">
        <v>16</v>
      </c>
      <c r="H236" s="5"/>
      <c r="K236" s="2"/>
    </row>
    <row r="237" spans="1:11">
      <c r="A237">
        <f t="shared" si="9"/>
        <v>0</v>
      </c>
      <c r="B237">
        <f t="shared" si="10"/>
        <v>0</v>
      </c>
      <c r="C237">
        <f t="shared" si="11"/>
        <v>0</v>
      </c>
      <c r="D237" s="5" t="s">
        <v>16</v>
      </c>
      <c r="H237" s="5"/>
      <c r="K237" s="2"/>
    </row>
    <row r="238" spans="1:11">
      <c r="A238">
        <f t="shared" si="9"/>
        <v>0</v>
      </c>
      <c r="B238">
        <f t="shared" si="10"/>
        <v>0</v>
      </c>
      <c r="C238">
        <f t="shared" si="11"/>
        <v>1</v>
      </c>
      <c r="D238" s="5" t="s">
        <v>28</v>
      </c>
      <c r="H238" s="5"/>
      <c r="K238" s="2"/>
    </row>
    <row r="239" spans="1:11">
      <c r="A239">
        <f t="shared" si="9"/>
        <v>0</v>
      </c>
      <c r="B239">
        <f t="shared" si="10"/>
        <v>0</v>
      </c>
      <c r="C239">
        <f t="shared" si="11"/>
        <v>1</v>
      </c>
      <c r="D239" s="5" t="s">
        <v>28</v>
      </c>
      <c r="H239" s="5"/>
      <c r="K239" s="2"/>
    </row>
    <row r="240" spans="1:11">
      <c r="A240">
        <f t="shared" si="9"/>
        <v>0</v>
      </c>
      <c r="B240">
        <f t="shared" si="10"/>
        <v>0</v>
      </c>
      <c r="C240">
        <f t="shared" si="11"/>
        <v>1</v>
      </c>
      <c r="D240" s="5" t="s">
        <v>28</v>
      </c>
      <c r="H240" s="5"/>
      <c r="K240" s="2"/>
    </row>
    <row r="241" spans="1:11">
      <c r="A241">
        <f t="shared" si="9"/>
        <v>0</v>
      </c>
      <c r="B241">
        <f t="shared" si="10"/>
        <v>0</v>
      </c>
      <c r="C241">
        <f t="shared" si="11"/>
        <v>1</v>
      </c>
      <c r="D241" s="5" t="s">
        <v>28</v>
      </c>
      <c r="H241" s="5"/>
      <c r="K241" s="2"/>
    </row>
    <row r="242" spans="1:11">
      <c r="A242">
        <f t="shared" si="9"/>
        <v>1</v>
      </c>
      <c r="B242">
        <f t="shared" si="10"/>
        <v>0</v>
      </c>
      <c r="C242">
        <f t="shared" si="11"/>
        <v>0</v>
      </c>
      <c r="D242" s="5" t="s">
        <v>21</v>
      </c>
      <c r="H242" s="5"/>
      <c r="K242" s="2"/>
    </row>
    <row r="243" spans="1:11">
      <c r="A243">
        <f t="shared" si="9"/>
        <v>1</v>
      </c>
      <c r="B243">
        <f t="shared" si="10"/>
        <v>0</v>
      </c>
      <c r="C243">
        <f t="shared" si="11"/>
        <v>0</v>
      </c>
      <c r="D243" s="5" t="s">
        <v>21</v>
      </c>
      <c r="H243" s="5"/>
      <c r="K243" s="2"/>
    </row>
    <row r="244" spans="1:11">
      <c r="A244">
        <f t="shared" si="9"/>
        <v>1</v>
      </c>
      <c r="B244">
        <f t="shared" si="10"/>
        <v>0</v>
      </c>
      <c r="C244">
        <f t="shared" si="11"/>
        <v>0</v>
      </c>
      <c r="D244" s="5" t="s">
        <v>21</v>
      </c>
      <c r="H244" s="5"/>
      <c r="K244" s="2"/>
    </row>
    <row r="245" spans="1:11">
      <c r="A245">
        <f t="shared" si="9"/>
        <v>1</v>
      </c>
      <c r="B245">
        <f t="shared" si="10"/>
        <v>0</v>
      </c>
      <c r="C245">
        <f t="shared" si="11"/>
        <v>0</v>
      </c>
      <c r="D245" s="5" t="s">
        <v>21</v>
      </c>
      <c r="H245" s="5"/>
      <c r="K245" s="2"/>
    </row>
    <row r="246" spans="1:11">
      <c r="A246">
        <f t="shared" si="9"/>
        <v>0</v>
      </c>
      <c r="B246">
        <f t="shared" si="10"/>
        <v>1</v>
      </c>
      <c r="C246">
        <f t="shared" si="11"/>
        <v>0</v>
      </c>
      <c r="D246" s="5" t="s">
        <v>18</v>
      </c>
      <c r="H246" s="5"/>
      <c r="K246" s="2"/>
    </row>
    <row r="247" spans="1:11">
      <c r="A247">
        <f t="shared" si="9"/>
        <v>0</v>
      </c>
      <c r="B247">
        <f t="shared" si="10"/>
        <v>1</v>
      </c>
      <c r="C247">
        <f t="shared" si="11"/>
        <v>0</v>
      </c>
      <c r="D247" s="5" t="s">
        <v>18</v>
      </c>
      <c r="H247" s="5"/>
      <c r="K247" s="2"/>
    </row>
    <row r="248" spans="1:11">
      <c r="A248">
        <f t="shared" si="9"/>
        <v>0</v>
      </c>
      <c r="B248">
        <f t="shared" si="10"/>
        <v>1</v>
      </c>
      <c r="C248">
        <f t="shared" si="11"/>
        <v>0</v>
      </c>
      <c r="D248" s="5" t="s">
        <v>18</v>
      </c>
      <c r="H248" s="5"/>
      <c r="K248" s="2"/>
    </row>
    <row r="249" spans="1:11">
      <c r="A249">
        <f t="shared" si="9"/>
        <v>0</v>
      </c>
      <c r="B249">
        <f t="shared" si="10"/>
        <v>1</v>
      </c>
      <c r="C249">
        <f t="shared" si="11"/>
        <v>0</v>
      </c>
      <c r="D249" s="5" t="s">
        <v>18</v>
      </c>
      <c r="H249" s="5"/>
      <c r="K249" s="2"/>
    </row>
    <row r="250" spans="1:11">
      <c r="A250">
        <f t="shared" si="9"/>
        <v>0</v>
      </c>
      <c r="B250">
        <f t="shared" si="10"/>
        <v>1</v>
      </c>
      <c r="C250">
        <f t="shared" si="11"/>
        <v>0</v>
      </c>
      <c r="D250" s="5" t="s">
        <v>18</v>
      </c>
      <c r="H250" s="5"/>
      <c r="K250" s="2"/>
    </row>
    <row r="251" spans="1:11">
      <c r="A251">
        <f t="shared" si="9"/>
        <v>0</v>
      </c>
      <c r="B251">
        <f t="shared" si="10"/>
        <v>1</v>
      </c>
      <c r="C251">
        <f t="shared" si="11"/>
        <v>0</v>
      </c>
      <c r="D251" s="5" t="s">
        <v>18</v>
      </c>
      <c r="H251" s="5"/>
      <c r="K251" s="2"/>
    </row>
    <row r="252" spans="1:11">
      <c r="A252">
        <f t="shared" si="9"/>
        <v>0</v>
      </c>
      <c r="B252">
        <f t="shared" si="10"/>
        <v>1</v>
      </c>
      <c r="C252">
        <f t="shared" si="11"/>
        <v>0</v>
      </c>
      <c r="D252" s="5" t="s">
        <v>18</v>
      </c>
      <c r="H252" s="5"/>
      <c r="K252" s="2"/>
    </row>
    <row r="253" spans="1:11">
      <c r="A253">
        <f t="shared" si="9"/>
        <v>0</v>
      </c>
      <c r="B253">
        <f t="shared" si="10"/>
        <v>1</v>
      </c>
      <c r="C253">
        <f t="shared" si="11"/>
        <v>0</v>
      </c>
      <c r="D253" s="5" t="s">
        <v>18</v>
      </c>
      <c r="H253" s="5"/>
      <c r="K253" s="2"/>
    </row>
    <row r="254" spans="1:11">
      <c r="A254">
        <f t="shared" si="9"/>
        <v>1</v>
      </c>
      <c r="B254">
        <f t="shared" si="10"/>
        <v>0</v>
      </c>
      <c r="C254">
        <f t="shared" si="11"/>
        <v>0</v>
      </c>
      <c r="D254" s="5" t="s">
        <v>21</v>
      </c>
      <c r="H254" s="5"/>
      <c r="K254" s="2"/>
    </row>
    <row r="255" spans="1:11">
      <c r="A255">
        <f t="shared" si="9"/>
        <v>1</v>
      </c>
      <c r="B255">
        <f t="shared" si="10"/>
        <v>0</v>
      </c>
      <c r="C255">
        <f t="shared" si="11"/>
        <v>0</v>
      </c>
      <c r="D255" s="5" t="s">
        <v>21</v>
      </c>
      <c r="H255" s="5"/>
      <c r="K255" s="2"/>
    </row>
    <row r="256" spans="1:11">
      <c r="A256">
        <f t="shared" si="9"/>
        <v>1</v>
      </c>
      <c r="B256">
        <f t="shared" si="10"/>
        <v>0</v>
      </c>
      <c r="C256">
        <f t="shared" si="11"/>
        <v>0</v>
      </c>
      <c r="D256" s="5" t="s">
        <v>21</v>
      </c>
      <c r="H256" s="5"/>
      <c r="K256" s="2"/>
    </row>
    <row r="257" spans="1:11">
      <c r="A257">
        <f t="shared" si="9"/>
        <v>1</v>
      </c>
      <c r="B257">
        <f t="shared" si="10"/>
        <v>0</v>
      </c>
      <c r="C257">
        <f t="shared" si="11"/>
        <v>0</v>
      </c>
      <c r="D257" s="5" t="s">
        <v>21</v>
      </c>
      <c r="H257" s="5"/>
      <c r="K257" s="2"/>
    </row>
    <row r="258" spans="1:11">
      <c r="A258">
        <f t="shared" si="9"/>
        <v>0</v>
      </c>
      <c r="B258">
        <f t="shared" si="10"/>
        <v>0</v>
      </c>
      <c r="C258">
        <f t="shared" si="11"/>
        <v>1</v>
      </c>
      <c r="D258" s="5" t="s">
        <v>28</v>
      </c>
      <c r="H258" s="5"/>
      <c r="K258" s="2"/>
    </row>
    <row r="259" spans="1:11">
      <c r="A259">
        <f t="shared" ref="A259:A321" si="12">IF(D259="Airport",1,0)</f>
        <v>0</v>
      </c>
      <c r="B259">
        <f t="shared" ref="B259:B321" si="13">IF(D259="High Street",1,0)</f>
        <v>0</v>
      </c>
      <c r="C259">
        <f t="shared" ref="C259:C321" si="14">IF(D259="Mall",1,0)</f>
        <v>1</v>
      </c>
      <c r="D259" s="5" t="s">
        <v>28</v>
      </c>
      <c r="H259" s="5"/>
      <c r="K259" s="2"/>
    </row>
    <row r="260" spans="1:11">
      <c r="A260">
        <f t="shared" si="12"/>
        <v>0</v>
      </c>
      <c r="B260">
        <f t="shared" si="13"/>
        <v>0</v>
      </c>
      <c r="C260">
        <f t="shared" si="14"/>
        <v>1</v>
      </c>
      <c r="D260" s="5" t="s">
        <v>28</v>
      </c>
      <c r="H260" s="5"/>
      <c r="K260" s="2"/>
    </row>
    <row r="261" spans="1:11">
      <c r="A261">
        <f t="shared" si="12"/>
        <v>0</v>
      </c>
      <c r="B261">
        <f t="shared" si="13"/>
        <v>0</v>
      </c>
      <c r="C261">
        <f t="shared" si="14"/>
        <v>1</v>
      </c>
      <c r="D261" s="5" t="s">
        <v>28</v>
      </c>
      <c r="H261" s="5"/>
      <c r="K261" s="2"/>
    </row>
    <row r="262" spans="1:11">
      <c r="A262">
        <f t="shared" si="12"/>
        <v>0</v>
      </c>
      <c r="B262">
        <f t="shared" si="13"/>
        <v>1</v>
      </c>
      <c r="C262">
        <f t="shared" si="14"/>
        <v>0</v>
      </c>
      <c r="D262" s="5" t="s">
        <v>18</v>
      </c>
      <c r="H262" s="5"/>
      <c r="K262" s="2"/>
    </row>
    <row r="263" spans="1:11">
      <c r="A263">
        <f t="shared" si="12"/>
        <v>0</v>
      </c>
      <c r="B263">
        <f t="shared" si="13"/>
        <v>1</v>
      </c>
      <c r="C263">
        <f t="shared" si="14"/>
        <v>0</v>
      </c>
      <c r="D263" s="5" t="s">
        <v>18</v>
      </c>
      <c r="H263" s="5"/>
      <c r="K263" s="2"/>
    </row>
    <row r="264" spans="1:11">
      <c r="A264">
        <f t="shared" si="12"/>
        <v>0</v>
      </c>
      <c r="B264">
        <f t="shared" si="13"/>
        <v>1</v>
      </c>
      <c r="C264">
        <f t="shared" si="14"/>
        <v>0</v>
      </c>
      <c r="D264" s="5" t="s">
        <v>18</v>
      </c>
      <c r="H264" s="5"/>
      <c r="K264" s="2"/>
    </row>
    <row r="265" spans="1:11">
      <c r="A265">
        <f t="shared" si="12"/>
        <v>0</v>
      </c>
      <c r="B265">
        <f t="shared" si="13"/>
        <v>1</v>
      </c>
      <c r="C265">
        <f t="shared" si="14"/>
        <v>0</v>
      </c>
      <c r="D265" s="5" t="s">
        <v>18</v>
      </c>
      <c r="H265" s="5"/>
      <c r="K265" s="2"/>
    </row>
    <row r="266" spans="1:11">
      <c r="A266">
        <f t="shared" si="12"/>
        <v>0</v>
      </c>
      <c r="B266">
        <f t="shared" si="13"/>
        <v>1</v>
      </c>
      <c r="C266">
        <f t="shared" si="14"/>
        <v>0</v>
      </c>
      <c r="D266" s="5" t="s">
        <v>18</v>
      </c>
      <c r="H266" s="5"/>
      <c r="K266" s="2"/>
    </row>
    <row r="267" spans="1:11">
      <c r="A267">
        <f t="shared" si="12"/>
        <v>0</v>
      </c>
      <c r="B267">
        <f t="shared" si="13"/>
        <v>1</v>
      </c>
      <c r="C267">
        <f t="shared" si="14"/>
        <v>0</v>
      </c>
      <c r="D267" s="5" t="s">
        <v>18</v>
      </c>
      <c r="H267" s="5"/>
      <c r="K267" s="2"/>
    </row>
    <row r="268" spans="1:11">
      <c r="A268">
        <f t="shared" si="12"/>
        <v>0</v>
      </c>
      <c r="B268">
        <f t="shared" si="13"/>
        <v>1</v>
      </c>
      <c r="C268">
        <f t="shared" si="14"/>
        <v>0</v>
      </c>
      <c r="D268" s="5" t="s">
        <v>18</v>
      </c>
      <c r="H268" s="5"/>
      <c r="K268" s="2"/>
    </row>
    <row r="269" spans="1:11">
      <c r="A269">
        <f t="shared" si="12"/>
        <v>0</v>
      </c>
      <c r="B269">
        <f t="shared" si="13"/>
        <v>1</v>
      </c>
      <c r="C269">
        <f t="shared" si="14"/>
        <v>0</v>
      </c>
      <c r="D269" s="5" t="s">
        <v>18</v>
      </c>
      <c r="H269" s="5"/>
      <c r="K269" s="2"/>
    </row>
    <row r="270" spans="1:11">
      <c r="A270">
        <f t="shared" si="12"/>
        <v>0</v>
      </c>
      <c r="B270">
        <f t="shared" si="13"/>
        <v>0</v>
      </c>
      <c r="C270">
        <f t="shared" si="14"/>
        <v>1</v>
      </c>
      <c r="D270" s="5" t="s">
        <v>28</v>
      </c>
      <c r="H270" s="5"/>
      <c r="K270" s="2"/>
    </row>
    <row r="271" spans="1:11">
      <c r="A271">
        <f t="shared" si="12"/>
        <v>0</v>
      </c>
      <c r="B271">
        <f t="shared" si="13"/>
        <v>0</v>
      </c>
      <c r="C271">
        <f t="shared" si="14"/>
        <v>1</v>
      </c>
      <c r="D271" s="5" t="s">
        <v>28</v>
      </c>
      <c r="H271" s="5"/>
      <c r="K271" s="2"/>
    </row>
    <row r="272" spans="1:11">
      <c r="A272">
        <f t="shared" si="12"/>
        <v>0</v>
      </c>
      <c r="B272">
        <f t="shared" si="13"/>
        <v>0</v>
      </c>
      <c r="C272">
        <f t="shared" si="14"/>
        <v>1</v>
      </c>
      <c r="D272" s="5" t="s">
        <v>28</v>
      </c>
      <c r="H272" s="5"/>
      <c r="K272" s="2"/>
    </row>
    <row r="273" spans="1:11">
      <c r="A273">
        <f t="shared" si="12"/>
        <v>0</v>
      </c>
      <c r="B273">
        <f t="shared" si="13"/>
        <v>0</v>
      </c>
      <c r="C273">
        <f t="shared" si="14"/>
        <v>1</v>
      </c>
      <c r="D273" s="5" t="s">
        <v>28</v>
      </c>
      <c r="H273" s="5"/>
      <c r="K273" s="2"/>
    </row>
    <row r="274" spans="1:11">
      <c r="A274">
        <f t="shared" si="12"/>
        <v>0</v>
      </c>
      <c r="B274">
        <f t="shared" si="13"/>
        <v>1</v>
      </c>
      <c r="C274">
        <f t="shared" si="14"/>
        <v>0</v>
      </c>
      <c r="D274" s="5" t="s">
        <v>18</v>
      </c>
      <c r="H274" s="5"/>
      <c r="K274" s="2"/>
    </row>
    <row r="275" spans="1:11">
      <c r="A275">
        <f t="shared" si="12"/>
        <v>0</v>
      </c>
      <c r="B275">
        <f t="shared" si="13"/>
        <v>1</v>
      </c>
      <c r="C275">
        <f t="shared" si="14"/>
        <v>0</v>
      </c>
      <c r="D275" s="5" t="s">
        <v>18</v>
      </c>
      <c r="H275" s="5"/>
      <c r="K275" s="2"/>
    </row>
    <row r="276" spans="1:11">
      <c r="A276">
        <f t="shared" si="12"/>
        <v>0</v>
      </c>
      <c r="B276">
        <f t="shared" si="13"/>
        <v>1</v>
      </c>
      <c r="C276">
        <f t="shared" si="14"/>
        <v>0</v>
      </c>
      <c r="D276" s="5" t="s">
        <v>18</v>
      </c>
      <c r="H276" s="5"/>
      <c r="K276" s="2"/>
    </row>
    <row r="277" spans="1:11">
      <c r="A277">
        <f t="shared" si="12"/>
        <v>0</v>
      </c>
      <c r="B277">
        <f t="shared" si="13"/>
        <v>1</v>
      </c>
      <c r="C277">
        <f t="shared" si="14"/>
        <v>0</v>
      </c>
      <c r="D277" s="5" t="s">
        <v>18</v>
      </c>
      <c r="H277" s="5"/>
      <c r="K277" s="2"/>
    </row>
    <row r="278" spans="1:11">
      <c r="A278">
        <f t="shared" si="12"/>
        <v>0</v>
      </c>
      <c r="B278">
        <f t="shared" si="13"/>
        <v>0</v>
      </c>
      <c r="C278">
        <f t="shared" si="14"/>
        <v>0</v>
      </c>
      <c r="D278" s="5" t="s">
        <v>16</v>
      </c>
      <c r="H278" s="5"/>
      <c r="K278" s="2"/>
    </row>
    <row r="279" spans="1:11">
      <c r="A279">
        <f t="shared" si="12"/>
        <v>0</v>
      </c>
      <c r="B279">
        <f t="shared" si="13"/>
        <v>0</v>
      </c>
      <c r="C279">
        <f t="shared" si="14"/>
        <v>0</v>
      </c>
      <c r="D279" s="5" t="s">
        <v>16</v>
      </c>
      <c r="H279" s="5"/>
      <c r="K279" s="2"/>
    </row>
    <row r="280" spans="1:11">
      <c r="A280">
        <f t="shared" si="12"/>
        <v>0</v>
      </c>
      <c r="B280">
        <f t="shared" si="13"/>
        <v>0</v>
      </c>
      <c r="C280">
        <f t="shared" si="14"/>
        <v>0</v>
      </c>
      <c r="D280" s="5" t="s">
        <v>16</v>
      </c>
      <c r="H280" s="5"/>
      <c r="K280" s="2"/>
    </row>
    <row r="281" spans="1:11">
      <c r="A281">
        <f t="shared" si="12"/>
        <v>0</v>
      </c>
      <c r="B281">
        <f t="shared" si="13"/>
        <v>0</v>
      </c>
      <c r="C281">
        <f t="shared" si="14"/>
        <v>0</v>
      </c>
      <c r="D281" s="5" t="s">
        <v>16</v>
      </c>
      <c r="H281" s="5"/>
      <c r="K281" s="2"/>
    </row>
    <row r="282" spans="1:11">
      <c r="A282">
        <f t="shared" si="12"/>
        <v>0</v>
      </c>
      <c r="B282">
        <f t="shared" si="13"/>
        <v>1</v>
      </c>
      <c r="C282">
        <f t="shared" si="14"/>
        <v>0</v>
      </c>
      <c r="D282" s="5" t="s">
        <v>18</v>
      </c>
      <c r="H282" s="5"/>
      <c r="K282" s="2"/>
    </row>
    <row r="283" spans="1:11">
      <c r="A283">
        <f t="shared" si="12"/>
        <v>0</v>
      </c>
      <c r="B283">
        <f t="shared" si="13"/>
        <v>1</v>
      </c>
      <c r="C283">
        <f t="shared" si="14"/>
        <v>0</v>
      </c>
      <c r="D283" s="5" t="s">
        <v>18</v>
      </c>
      <c r="H283" s="5"/>
      <c r="K283" s="2"/>
    </row>
    <row r="284" spans="1:11">
      <c r="A284">
        <f t="shared" si="12"/>
        <v>0</v>
      </c>
      <c r="B284">
        <f t="shared" si="13"/>
        <v>1</v>
      </c>
      <c r="C284">
        <f t="shared" si="14"/>
        <v>0</v>
      </c>
      <c r="D284" s="5" t="s">
        <v>18</v>
      </c>
      <c r="H284" s="5"/>
      <c r="K284" s="2"/>
    </row>
    <row r="285" spans="1:11">
      <c r="A285">
        <f t="shared" si="12"/>
        <v>0</v>
      </c>
      <c r="B285">
        <f t="shared" si="13"/>
        <v>1</v>
      </c>
      <c r="C285">
        <f t="shared" si="14"/>
        <v>0</v>
      </c>
      <c r="D285" s="5" t="s">
        <v>18</v>
      </c>
      <c r="H285" s="5"/>
      <c r="K285" s="2"/>
    </row>
    <row r="286" spans="1:11">
      <c r="A286">
        <f t="shared" si="12"/>
        <v>0</v>
      </c>
      <c r="B286">
        <f t="shared" si="13"/>
        <v>0</v>
      </c>
      <c r="C286">
        <f t="shared" si="14"/>
        <v>0</v>
      </c>
      <c r="D286" s="5" t="s">
        <v>16</v>
      </c>
      <c r="H286" s="5"/>
      <c r="K286" s="2"/>
    </row>
    <row r="287" spans="1:11">
      <c r="A287">
        <f t="shared" si="12"/>
        <v>0</v>
      </c>
      <c r="B287">
        <f t="shared" si="13"/>
        <v>0</v>
      </c>
      <c r="C287">
        <f t="shared" si="14"/>
        <v>0</v>
      </c>
      <c r="D287" s="5" t="s">
        <v>16</v>
      </c>
      <c r="H287" s="5"/>
      <c r="K287" s="2"/>
    </row>
    <row r="288" spans="1:11">
      <c r="A288">
        <f t="shared" si="12"/>
        <v>0</v>
      </c>
      <c r="B288">
        <f t="shared" si="13"/>
        <v>0</v>
      </c>
      <c r="C288">
        <f t="shared" si="14"/>
        <v>0</v>
      </c>
      <c r="D288" s="5" t="s">
        <v>16</v>
      </c>
      <c r="H288" s="5"/>
      <c r="K288" s="2"/>
    </row>
    <row r="289" spans="1:11">
      <c r="A289">
        <f t="shared" si="12"/>
        <v>0</v>
      </c>
      <c r="B289">
        <f t="shared" si="13"/>
        <v>0</v>
      </c>
      <c r="C289">
        <f t="shared" si="14"/>
        <v>0</v>
      </c>
      <c r="D289" s="5" t="s">
        <v>16</v>
      </c>
      <c r="H289" s="5"/>
      <c r="K289" s="2"/>
    </row>
    <row r="290" spans="1:11">
      <c r="A290">
        <f t="shared" si="12"/>
        <v>0</v>
      </c>
      <c r="B290">
        <f t="shared" si="13"/>
        <v>0</v>
      </c>
      <c r="C290">
        <f t="shared" si="14"/>
        <v>0</v>
      </c>
      <c r="D290" s="5" t="s">
        <v>16</v>
      </c>
      <c r="H290" s="5"/>
      <c r="K290" s="2"/>
    </row>
    <row r="291" spans="1:11">
      <c r="A291">
        <f t="shared" si="12"/>
        <v>0</v>
      </c>
      <c r="B291">
        <f t="shared" si="13"/>
        <v>0</v>
      </c>
      <c r="C291">
        <f t="shared" si="14"/>
        <v>0</v>
      </c>
      <c r="D291" s="5" t="s">
        <v>16</v>
      </c>
      <c r="H291" s="5"/>
      <c r="K291" s="2"/>
    </row>
    <row r="292" spans="1:11">
      <c r="A292">
        <f t="shared" si="12"/>
        <v>0</v>
      </c>
      <c r="B292">
        <f t="shared" si="13"/>
        <v>0</v>
      </c>
      <c r="C292">
        <f t="shared" si="14"/>
        <v>0</v>
      </c>
      <c r="D292" s="5" t="s">
        <v>16</v>
      </c>
      <c r="H292" s="5"/>
      <c r="K292" s="2"/>
    </row>
    <row r="293" spans="1:11">
      <c r="A293">
        <f t="shared" si="12"/>
        <v>0</v>
      </c>
      <c r="B293">
        <f t="shared" si="13"/>
        <v>0</v>
      </c>
      <c r="C293">
        <f t="shared" si="14"/>
        <v>0</v>
      </c>
      <c r="D293" s="5" t="s">
        <v>16</v>
      </c>
      <c r="H293" s="5"/>
      <c r="K293" s="2"/>
    </row>
    <row r="294" spans="1:11">
      <c r="A294">
        <f t="shared" si="12"/>
        <v>0</v>
      </c>
      <c r="B294">
        <f t="shared" si="13"/>
        <v>1</v>
      </c>
      <c r="C294">
        <f t="shared" si="14"/>
        <v>0</v>
      </c>
      <c r="D294" s="5" t="s">
        <v>18</v>
      </c>
      <c r="H294" s="5"/>
      <c r="K294" s="2"/>
    </row>
    <row r="295" spans="1:11">
      <c r="A295">
        <f t="shared" si="12"/>
        <v>0</v>
      </c>
      <c r="B295">
        <f t="shared" si="13"/>
        <v>1</v>
      </c>
      <c r="C295">
        <f t="shared" si="14"/>
        <v>0</v>
      </c>
      <c r="D295" s="5" t="s">
        <v>18</v>
      </c>
      <c r="H295" s="5"/>
      <c r="K295" s="2"/>
    </row>
    <row r="296" spans="1:11">
      <c r="A296">
        <f t="shared" si="12"/>
        <v>0</v>
      </c>
      <c r="B296">
        <f t="shared" si="13"/>
        <v>1</v>
      </c>
      <c r="C296">
        <f t="shared" si="14"/>
        <v>0</v>
      </c>
      <c r="D296" s="5" t="s">
        <v>18</v>
      </c>
      <c r="H296" s="5"/>
      <c r="K296" s="2"/>
    </row>
    <row r="297" spans="1:11">
      <c r="A297">
        <f t="shared" si="12"/>
        <v>0</v>
      </c>
      <c r="B297">
        <f t="shared" si="13"/>
        <v>1</v>
      </c>
      <c r="C297">
        <f t="shared" si="14"/>
        <v>0</v>
      </c>
      <c r="D297" s="5" t="s">
        <v>18</v>
      </c>
      <c r="H297" s="5"/>
      <c r="K297" s="2"/>
    </row>
    <row r="298" spans="1:11">
      <c r="A298">
        <f t="shared" si="12"/>
        <v>0</v>
      </c>
      <c r="B298">
        <f t="shared" si="13"/>
        <v>1</v>
      </c>
      <c r="C298">
        <f t="shared" si="14"/>
        <v>0</v>
      </c>
      <c r="D298" s="5" t="s">
        <v>18</v>
      </c>
      <c r="H298" s="5"/>
      <c r="K298" s="2"/>
    </row>
    <row r="299" spans="1:11">
      <c r="A299">
        <f t="shared" si="12"/>
        <v>0</v>
      </c>
      <c r="B299">
        <f t="shared" si="13"/>
        <v>1</v>
      </c>
      <c r="C299">
        <f t="shared" si="14"/>
        <v>0</v>
      </c>
      <c r="D299" s="5" t="s">
        <v>18</v>
      </c>
      <c r="H299" s="5"/>
      <c r="K299" s="2"/>
    </row>
    <row r="300" spans="1:11">
      <c r="A300">
        <f t="shared" si="12"/>
        <v>0</v>
      </c>
      <c r="B300">
        <f t="shared" si="13"/>
        <v>1</v>
      </c>
      <c r="C300">
        <f t="shared" si="14"/>
        <v>0</v>
      </c>
      <c r="D300" s="5" t="s">
        <v>18</v>
      </c>
      <c r="H300" s="5"/>
      <c r="K300" s="2"/>
    </row>
    <row r="301" spans="1:11">
      <c r="A301">
        <f t="shared" si="12"/>
        <v>0</v>
      </c>
      <c r="B301">
        <f t="shared" si="13"/>
        <v>1</v>
      </c>
      <c r="C301">
        <f t="shared" si="14"/>
        <v>0</v>
      </c>
      <c r="D301" s="5" t="s">
        <v>18</v>
      </c>
      <c r="H301" s="5"/>
      <c r="K301" s="2"/>
    </row>
    <row r="302" spans="1:11">
      <c r="A302">
        <f t="shared" si="12"/>
        <v>0</v>
      </c>
      <c r="B302">
        <f t="shared" si="13"/>
        <v>0</v>
      </c>
      <c r="C302">
        <f t="shared" si="14"/>
        <v>1</v>
      </c>
      <c r="D302" s="5" t="s">
        <v>28</v>
      </c>
      <c r="H302" s="5"/>
      <c r="K302" s="2"/>
    </row>
    <row r="303" spans="1:11">
      <c r="A303">
        <f t="shared" si="12"/>
        <v>0</v>
      </c>
      <c r="B303">
        <f t="shared" si="13"/>
        <v>0</v>
      </c>
      <c r="C303">
        <f t="shared" si="14"/>
        <v>1</v>
      </c>
      <c r="D303" s="5" t="s">
        <v>28</v>
      </c>
      <c r="H303" s="5"/>
      <c r="K303" s="2"/>
    </row>
    <row r="304" spans="1:11">
      <c r="A304">
        <f t="shared" si="12"/>
        <v>0</v>
      </c>
      <c r="B304">
        <f t="shared" si="13"/>
        <v>0</v>
      </c>
      <c r="C304">
        <f t="shared" si="14"/>
        <v>1</v>
      </c>
      <c r="D304" s="5" t="s">
        <v>28</v>
      </c>
      <c r="H304" s="5"/>
      <c r="K304" s="2"/>
    </row>
    <row r="305" spans="1:11">
      <c r="A305">
        <f t="shared" si="12"/>
        <v>0</v>
      </c>
      <c r="B305">
        <f t="shared" si="13"/>
        <v>0</v>
      </c>
      <c r="C305">
        <f t="shared" si="14"/>
        <v>1</v>
      </c>
      <c r="D305" s="5" t="s">
        <v>28</v>
      </c>
      <c r="H305" s="5"/>
      <c r="K305" s="2"/>
    </row>
    <row r="306" spans="1:11">
      <c r="A306">
        <f t="shared" si="12"/>
        <v>0</v>
      </c>
      <c r="B306">
        <f t="shared" si="13"/>
        <v>0</v>
      </c>
      <c r="C306">
        <f t="shared" si="14"/>
        <v>0</v>
      </c>
      <c r="D306" s="5" t="s">
        <v>16</v>
      </c>
      <c r="H306" s="5"/>
      <c r="K306" s="2"/>
    </row>
    <row r="307" spans="1:11">
      <c r="A307">
        <f t="shared" si="12"/>
        <v>0</v>
      </c>
      <c r="B307">
        <f t="shared" si="13"/>
        <v>0</v>
      </c>
      <c r="C307">
        <f t="shared" si="14"/>
        <v>0</v>
      </c>
      <c r="D307" s="5" t="s">
        <v>16</v>
      </c>
      <c r="H307" s="5"/>
      <c r="K307" s="2"/>
    </row>
    <row r="308" spans="1:11">
      <c r="A308">
        <f t="shared" si="12"/>
        <v>0</v>
      </c>
      <c r="B308">
        <f t="shared" si="13"/>
        <v>0</v>
      </c>
      <c r="C308">
        <f t="shared" si="14"/>
        <v>0</v>
      </c>
      <c r="D308" s="5" t="s">
        <v>16</v>
      </c>
      <c r="H308" s="5"/>
      <c r="K308" s="2"/>
    </row>
    <row r="309" spans="1:11">
      <c r="A309">
        <f t="shared" si="12"/>
        <v>0</v>
      </c>
      <c r="B309">
        <f t="shared" si="13"/>
        <v>0</v>
      </c>
      <c r="C309">
        <f t="shared" si="14"/>
        <v>0</v>
      </c>
      <c r="D309" s="5" t="s">
        <v>16</v>
      </c>
      <c r="H309" s="5"/>
      <c r="K309" s="2"/>
    </row>
    <row r="310" spans="1:11">
      <c r="A310">
        <f t="shared" si="12"/>
        <v>0</v>
      </c>
      <c r="B310">
        <f t="shared" si="13"/>
        <v>1</v>
      </c>
      <c r="C310">
        <f t="shared" si="14"/>
        <v>0</v>
      </c>
      <c r="D310" s="5" t="s">
        <v>18</v>
      </c>
      <c r="H310" s="5"/>
      <c r="K310" s="2"/>
    </row>
    <row r="311" spans="1:11">
      <c r="A311">
        <f t="shared" si="12"/>
        <v>0</v>
      </c>
      <c r="B311">
        <f t="shared" si="13"/>
        <v>1</v>
      </c>
      <c r="C311">
        <f t="shared" si="14"/>
        <v>0</v>
      </c>
      <c r="D311" s="5" t="s">
        <v>18</v>
      </c>
      <c r="H311" s="5"/>
      <c r="K311" s="2"/>
    </row>
    <row r="312" spans="1:11">
      <c r="A312">
        <f t="shared" si="12"/>
        <v>0</v>
      </c>
      <c r="B312">
        <f t="shared" si="13"/>
        <v>1</v>
      </c>
      <c r="C312">
        <f t="shared" si="14"/>
        <v>0</v>
      </c>
      <c r="D312" s="5" t="s">
        <v>18</v>
      </c>
      <c r="H312" s="5"/>
      <c r="K312" s="2"/>
    </row>
    <row r="313" spans="1:11">
      <c r="A313">
        <f t="shared" si="12"/>
        <v>0</v>
      </c>
      <c r="B313">
        <f t="shared" si="13"/>
        <v>1</v>
      </c>
      <c r="C313">
        <f t="shared" si="14"/>
        <v>0</v>
      </c>
      <c r="D313" s="5" t="s">
        <v>18</v>
      </c>
      <c r="H313" s="5"/>
      <c r="K313" s="2"/>
    </row>
    <row r="314" spans="1:11">
      <c r="A314">
        <f t="shared" si="12"/>
        <v>0</v>
      </c>
      <c r="B314">
        <f t="shared" si="13"/>
        <v>0</v>
      </c>
      <c r="C314">
        <f t="shared" si="14"/>
        <v>0</v>
      </c>
      <c r="D314" s="5" t="s">
        <v>16</v>
      </c>
      <c r="H314" s="5"/>
      <c r="K314" s="2"/>
    </row>
    <row r="315" spans="1:11">
      <c r="A315">
        <f t="shared" si="12"/>
        <v>0</v>
      </c>
      <c r="B315">
        <f t="shared" si="13"/>
        <v>0</v>
      </c>
      <c r="C315">
        <f t="shared" si="14"/>
        <v>0</v>
      </c>
      <c r="D315" s="5" t="s">
        <v>16</v>
      </c>
      <c r="H315" s="5"/>
      <c r="K315" s="2"/>
    </row>
    <row r="316" spans="1:11">
      <c r="A316">
        <f t="shared" si="12"/>
        <v>0</v>
      </c>
      <c r="B316">
        <f t="shared" si="13"/>
        <v>0</v>
      </c>
      <c r="C316">
        <f t="shared" si="14"/>
        <v>0</v>
      </c>
      <c r="D316" s="5" t="s">
        <v>16</v>
      </c>
      <c r="H316" s="5"/>
      <c r="K316" s="2"/>
    </row>
    <row r="317" spans="1:11">
      <c r="A317">
        <f t="shared" si="12"/>
        <v>0</v>
      </c>
      <c r="B317">
        <f t="shared" si="13"/>
        <v>0</v>
      </c>
      <c r="C317">
        <f t="shared" si="14"/>
        <v>0</v>
      </c>
      <c r="D317" s="5" t="s">
        <v>16</v>
      </c>
      <c r="H317" s="5"/>
      <c r="K317" s="2"/>
    </row>
    <row r="318" spans="1:11">
      <c r="A318">
        <f t="shared" si="12"/>
        <v>0</v>
      </c>
      <c r="B318">
        <f t="shared" si="13"/>
        <v>0</v>
      </c>
      <c r="C318">
        <f t="shared" si="14"/>
        <v>0</v>
      </c>
      <c r="D318" s="5" t="s">
        <v>16</v>
      </c>
      <c r="H318" s="5"/>
      <c r="K318" s="2"/>
    </row>
    <row r="319" spans="1:11">
      <c r="A319">
        <f t="shared" si="12"/>
        <v>0</v>
      </c>
      <c r="B319">
        <f t="shared" si="13"/>
        <v>0</v>
      </c>
      <c r="C319">
        <f t="shared" si="14"/>
        <v>0</v>
      </c>
      <c r="D319" s="5" t="s">
        <v>16</v>
      </c>
      <c r="H319" s="5"/>
      <c r="K319" s="2"/>
    </row>
    <row r="320" spans="1:11">
      <c r="A320">
        <f t="shared" si="12"/>
        <v>0</v>
      </c>
      <c r="B320">
        <f t="shared" si="13"/>
        <v>0</v>
      </c>
      <c r="C320">
        <f t="shared" si="14"/>
        <v>0</v>
      </c>
      <c r="D320" s="5" t="s">
        <v>16</v>
      </c>
      <c r="H320" s="5"/>
      <c r="K320" s="2"/>
    </row>
    <row r="321" spans="1:11">
      <c r="A321">
        <f t="shared" si="12"/>
        <v>0</v>
      </c>
      <c r="B321">
        <f t="shared" si="13"/>
        <v>0</v>
      </c>
      <c r="C321">
        <f t="shared" si="14"/>
        <v>0</v>
      </c>
      <c r="D321" s="5" t="s">
        <v>16</v>
      </c>
      <c r="H321" s="5"/>
      <c r="K32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1"/>
  <sheetViews>
    <sheetView workbookViewId="0">
      <selection activeCell="A33" sqref="A33"/>
    </sheetView>
  </sheetViews>
  <sheetFormatPr defaultRowHeight="15"/>
  <cols>
    <col min="1" max="1" width="18" customWidth="1"/>
    <col min="2" max="2" width="12.140625" customWidth="1"/>
    <col min="3" max="3" width="14.5703125" bestFit="1" customWidth="1"/>
    <col min="6" max="6" width="22.140625" customWidth="1"/>
    <col min="7" max="7" width="13.28515625" customWidth="1"/>
    <col min="8" max="8" width="12.140625" customWidth="1"/>
    <col min="9" max="9" width="14" customWidth="1"/>
    <col min="11" max="11" width="18.85546875" customWidth="1"/>
    <col min="12" max="12" width="13.7109375" customWidth="1"/>
    <col min="13" max="13" width="15.28515625" customWidth="1"/>
    <col min="14" max="14" width="11.140625" customWidth="1"/>
    <col min="16" max="16" width="14.140625" customWidth="1"/>
    <col min="17" max="17" width="10.85546875" customWidth="1"/>
    <col min="18" max="18" width="11.85546875" customWidth="1"/>
    <col min="19" max="19" width="13.5703125" customWidth="1"/>
  </cols>
  <sheetData>
    <row r="2" spans="1:16" ht="26.25">
      <c r="C2" s="12" t="s">
        <v>126</v>
      </c>
      <c r="D2" s="12"/>
      <c r="E2" s="12"/>
      <c r="F2" s="12"/>
      <c r="L2" s="13" t="s">
        <v>128</v>
      </c>
    </row>
    <row r="3" spans="1:16">
      <c r="A3" t="s">
        <v>102</v>
      </c>
      <c r="K3" t="s">
        <v>102</v>
      </c>
    </row>
    <row r="4" spans="1:16" ht="15.75" thickBot="1"/>
    <row r="5" spans="1:16" ht="15.75" thickBot="1">
      <c r="A5" s="11" t="s">
        <v>103</v>
      </c>
      <c r="B5" s="11"/>
    </row>
    <row r="6" spans="1:16">
      <c r="A6" s="8" t="s">
        <v>104</v>
      </c>
      <c r="B6" s="8">
        <v>0.40895561021322352</v>
      </c>
      <c r="K6" s="11" t="s">
        <v>103</v>
      </c>
      <c r="L6" s="11"/>
    </row>
    <row r="7" spans="1:16">
      <c r="A7" s="8" t="s">
        <v>105</v>
      </c>
      <c r="B7" s="8">
        <v>0.16724469112487</v>
      </c>
      <c r="K7" s="8" t="s">
        <v>104</v>
      </c>
      <c r="L7" s="8">
        <v>0.85807070804410468</v>
      </c>
    </row>
    <row r="8" spans="1:16">
      <c r="A8" s="8" t="s">
        <v>106</v>
      </c>
      <c r="B8" s="8">
        <v>0.16462596373847024</v>
      </c>
      <c r="K8" s="8" t="s">
        <v>105</v>
      </c>
      <c r="L8" s="8">
        <v>0.73628534000331114</v>
      </c>
    </row>
    <row r="9" spans="1:16">
      <c r="A9" s="8" t="s">
        <v>107</v>
      </c>
      <c r="B9" s="8">
        <v>94846.03383215853</v>
      </c>
      <c r="K9" s="8" t="s">
        <v>106</v>
      </c>
      <c r="L9" s="8">
        <v>0.73545604861967373</v>
      </c>
    </row>
    <row r="10" spans="1:16" ht="15.75" thickBot="1">
      <c r="A10" s="9" t="s">
        <v>108</v>
      </c>
      <c r="B10" s="9">
        <v>320</v>
      </c>
      <c r="K10" s="8" t="s">
        <v>107</v>
      </c>
      <c r="L10" s="8">
        <v>53373.736380790499</v>
      </c>
    </row>
    <row r="11" spans="1:16" ht="15.75" thickBot="1">
      <c r="K11" s="9" t="s">
        <v>108</v>
      </c>
      <c r="L11" s="9">
        <v>320</v>
      </c>
    </row>
    <row r="12" spans="1:16" ht="15.75" thickBot="1">
      <c r="A12" t="s">
        <v>109</v>
      </c>
    </row>
    <row r="13" spans="1:16" ht="15.75" thickBot="1">
      <c r="A13" s="10"/>
      <c r="B13" s="10" t="s">
        <v>114</v>
      </c>
      <c r="C13" s="10" t="s">
        <v>115</v>
      </c>
      <c r="D13" s="10" t="s">
        <v>116</v>
      </c>
      <c r="E13" s="10" t="s">
        <v>117</v>
      </c>
      <c r="F13" s="10" t="s">
        <v>118</v>
      </c>
      <c r="K13" t="s">
        <v>109</v>
      </c>
    </row>
    <row r="14" spans="1:16">
      <c r="A14" s="8" t="s">
        <v>110</v>
      </c>
      <c r="B14" s="8">
        <v>1</v>
      </c>
      <c r="C14" s="8">
        <v>574513714277.01416</v>
      </c>
      <c r="D14" s="8">
        <v>574513714277.01416</v>
      </c>
      <c r="E14" s="8">
        <v>63.864872683367629</v>
      </c>
      <c r="F14" s="8">
        <v>2.4800615101359619E-14</v>
      </c>
      <c r="K14" s="10"/>
      <c r="L14" s="10" t="s">
        <v>114</v>
      </c>
      <c r="M14" s="10" t="s">
        <v>115</v>
      </c>
      <c r="N14" s="10" t="s">
        <v>116</v>
      </c>
      <c r="O14" s="10" t="s">
        <v>117</v>
      </c>
      <c r="P14" s="10" t="s">
        <v>118</v>
      </c>
    </row>
    <row r="15" spans="1:16">
      <c r="A15" s="8" t="s">
        <v>111</v>
      </c>
      <c r="B15" s="8">
        <v>318</v>
      </c>
      <c r="C15" s="8">
        <v>2860654902513.7251</v>
      </c>
      <c r="D15" s="8">
        <v>8995770133.6909599</v>
      </c>
      <c r="E15" s="8"/>
      <c r="F15" s="8"/>
      <c r="K15" s="8" t="s">
        <v>110</v>
      </c>
      <c r="L15" s="8">
        <v>1</v>
      </c>
      <c r="M15" s="8">
        <v>2529264292982.4736</v>
      </c>
      <c r="N15" s="8">
        <v>2529264292982.4736</v>
      </c>
      <c r="O15" s="8">
        <v>887.84877611276033</v>
      </c>
      <c r="P15" s="8">
        <v>4.7503615090053331E-94</v>
      </c>
    </row>
    <row r="16" spans="1:16" ht="15.75" thickBot="1">
      <c r="A16" s="9" t="s">
        <v>112</v>
      </c>
      <c r="B16" s="9">
        <v>319</v>
      </c>
      <c r="C16" s="9">
        <v>3435168616790.7393</v>
      </c>
      <c r="D16" s="9"/>
      <c r="E16" s="9"/>
      <c r="F16" s="9"/>
      <c r="K16" s="8" t="s">
        <v>111</v>
      </c>
      <c r="L16" s="8">
        <v>318</v>
      </c>
      <c r="M16" s="8">
        <v>905904323808.26587</v>
      </c>
      <c r="N16" s="8">
        <v>2848755735.246119</v>
      </c>
      <c r="O16" s="8"/>
      <c r="P16" s="8"/>
    </row>
    <row r="17" spans="1:19" ht="15.75" thickBot="1">
      <c r="K17" s="9" t="s">
        <v>112</v>
      </c>
      <c r="L17" s="9">
        <v>319</v>
      </c>
      <c r="M17" s="9">
        <v>3435168616790.7393</v>
      </c>
      <c r="N17" s="9"/>
      <c r="O17" s="9"/>
      <c r="P17" s="9"/>
    </row>
    <row r="18" spans="1:19" ht="15.75" thickBot="1">
      <c r="A18" s="10"/>
      <c r="B18" s="10" t="s">
        <v>119</v>
      </c>
      <c r="C18" s="10" t="s">
        <v>107</v>
      </c>
      <c r="D18" s="10" t="s">
        <v>120</v>
      </c>
      <c r="E18" s="10" t="s">
        <v>121</v>
      </c>
      <c r="F18" s="10" t="s">
        <v>122</v>
      </c>
      <c r="G18" s="10" t="s">
        <v>123</v>
      </c>
      <c r="H18" s="10" t="s">
        <v>124</v>
      </c>
      <c r="I18" s="10" t="s">
        <v>125</v>
      </c>
    </row>
    <row r="19" spans="1:19">
      <c r="A19" s="8" t="s">
        <v>113</v>
      </c>
      <c r="B19" s="8">
        <v>560777.34544943704</v>
      </c>
      <c r="C19" s="8">
        <v>15906.905953068674</v>
      </c>
      <c r="D19" s="8">
        <v>35.253703460870398</v>
      </c>
      <c r="E19" s="8">
        <v>6.952876876284135E-112</v>
      </c>
      <c r="F19" s="8">
        <v>529481.27234763221</v>
      </c>
      <c r="G19" s="8">
        <v>592073.41855124186</v>
      </c>
      <c r="H19" s="8">
        <v>529481.27234763221</v>
      </c>
      <c r="I19" s="8">
        <v>592073.41855124186</v>
      </c>
      <c r="K19" s="10"/>
      <c r="L19" s="10" t="s">
        <v>119</v>
      </c>
      <c r="M19" s="10" t="s">
        <v>107</v>
      </c>
      <c r="N19" s="10" t="s">
        <v>120</v>
      </c>
      <c r="O19" s="10" t="s">
        <v>121</v>
      </c>
      <c r="P19" s="10" t="s">
        <v>122</v>
      </c>
      <c r="Q19" s="10" t="s">
        <v>123</v>
      </c>
      <c r="R19" s="10" t="s">
        <v>124</v>
      </c>
      <c r="S19" s="10" t="s">
        <v>125</v>
      </c>
    </row>
    <row r="20" spans="1:19" ht="15.75" thickBot="1">
      <c r="A20" s="9" t="s">
        <v>4</v>
      </c>
      <c r="B20" s="9">
        <v>2.1295753275898281</v>
      </c>
      <c r="C20" s="9">
        <v>0.26647838106932348</v>
      </c>
      <c r="D20" s="9">
        <v>7.991550080138869</v>
      </c>
      <c r="E20" s="9">
        <v>2.4800615101360068E-14</v>
      </c>
      <c r="F20" s="9">
        <v>1.6052919176921738</v>
      </c>
      <c r="G20" s="9">
        <v>2.6538587374874822</v>
      </c>
      <c r="H20" s="9">
        <v>1.6052919176921738</v>
      </c>
      <c r="I20" s="9">
        <v>2.6538587374874822</v>
      </c>
      <c r="K20" s="8" t="s">
        <v>113</v>
      </c>
      <c r="L20" s="8">
        <v>446410.58293395344</v>
      </c>
      <c r="M20" s="8">
        <v>8407.7382630059928</v>
      </c>
      <c r="N20" s="8">
        <v>53.095204556754318</v>
      </c>
      <c r="O20" s="8">
        <v>4.0862695711507226E-160</v>
      </c>
      <c r="P20" s="8">
        <v>429868.76191129786</v>
      </c>
      <c r="Q20" s="8">
        <v>462952.40395660902</v>
      </c>
      <c r="R20" s="8">
        <v>429868.76191129786</v>
      </c>
      <c r="S20" s="8">
        <v>462952.40395660902</v>
      </c>
    </row>
    <row r="21" spans="1:19" ht="15.75" thickBot="1">
      <c r="K21" s="9" t="s">
        <v>5</v>
      </c>
      <c r="L21" s="9">
        <v>35.678031072640458</v>
      </c>
      <c r="M21" s="9">
        <v>1.1973782890340821</v>
      </c>
      <c r="N21" s="9">
        <v>29.796791372776362</v>
      </c>
      <c r="O21" s="9">
        <v>4.7503615090054677E-94</v>
      </c>
      <c r="P21" s="9">
        <v>33.322246825554025</v>
      </c>
      <c r="Q21" s="9">
        <v>38.033815319726891</v>
      </c>
      <c r="R21" s="9">
        <v>33.322246825554025</v>
      </c>
      <c r="S21" s="9">
        <v>38.033815319726891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9"/>
  <sheetViews>
    <sheetView workbookViewId="0">
      <selection activeCell="H1" sqref="H1"/>
    </sheetView>
  </sheetViews>
  <sheetFormatPr defaultRowHeight="15"/>
  <cols>
    <col min="1" max="1" width="20.28515625" customWidth="1"/>
    <col min="2" max="2" width="23.140625" customWidth="1"/>
    <col min="3" max="3" width="17.7109375" customWidth="1"/>
    <col min="4" max="4" width="16.42578125" customWidth="1"/>
    <col min="6" max="6" width="13.28515625" customWidth="1"/>
    <col min="7" max="7" width="12.85546875" customWidth="1"/>
    <col min="8" max="8" width="12" customWidth="1"/>
    <col min="9" max="9" width="13.7109375" customWidth="1"/>
  </cols>
  <sheetData>
    <row r="1" spans="1:6" ht="26.25">
      <c r="B1" s="19"/>
      <c r="C1" s="19"/>
      <c r="D1" s="19" t="s">
        <v>142</v>
      </c>
      <c r="E1" s="19"/>
    </row>
    <row r="2" spans="1:6">
      <c r="A2" t="s">
        <v>102</v>
      </c>
    </row>
    <row r="3" spans="1:6" ht="15.75" thickBot="1"/>
    <row r="4" spans="1:6">
      <c r="A4" s="11" t="s">
        <v>103</v>
      </c>
      <c r="B4" s="11"/>
    </row>
    <row r="5" spans="1:6">
      <c r="A5" s="8" t="s">
        <v>104</v>
      </c>
      <c r="B5" s="8">
        <v>0.90364070437530675</v>
      </c>
    </row>
    <row r="6" spans="1:6">
      <c r="A6" s="8" t="s">
        <v>105</v>
      </c>
      <c r="B6" s="8">
        <v>0.81656652260390061</v>
      </c>
    </row>
    <row r="7" spans="1:6">
      <c r="A7" s="8" t="s">
        <v>106</v>
      </c>
      <c r="B7" s="8">
        <v>0.81364560735873981</v>
      </c>
    </row>
    <row r="8" spans="1:6">
      <c r="A8" s="8" t="s">
        <v>107</v>
      </c>
      <c r="B8" s="8">
        <v>44796.956107490325</v>
      </c>
    </row>
    <row r="9" spans="1:6" ht="15.75" thickBot="1">
      <c r="A9" s="9" t="s">
        <v>108</v>
      </c>
      <c r="B9" s="9">
        <v>320</v>
      </c>
    </row>
    <row r="11" spans="1:6" ht="15.75" thickBot="1">
      <c r="A11" t="s">
        <v>109</v>
      </c>
    </row>
    <row r="12" spans="1:6">
      <c r="A12" s="10"/>
      <c r="B12" s="10" t="s">
        <v>114</v>
      </c>
      <c r="C12" s="10" t="s">
        <v>115</v>
      </c>
      <c r="D12" s="10" t="s">
        <v>116</v>
      </c>
      <c r="E12" s="10" t="s">
        <v>117</v>
      </c>
      <c r="F12" s="10" t="s">
        <v>118</v>
      </c>
    </row>
    <row r="13" spans="1:6">
      <c r="A13" s="8" t="s">
        <v>110</v>
      </c>
      <c r="B13" s="8">
        <v>5</v>
      </c>
      <c r="C13" s="8">
        <v>2805043691970.8652</v>
      </c>
      <c r="D13" s="8">
        <v>561008738394.1731</v>
      </c>
      <c r="E13" s="8">
        <v>279.55844455149276</v>
      </c>
      <c r="F13" s="8">
        <v>2.572949827761378E-113</v>
      </c>
    </row>
    <row r="14" spans="1:6">
      <c r="A14" s="8" t="s">
        <v>111</v>
      </c>
      <c r="B14" s="8">
        <v>314</v>
      </c>
      <c r="C14" s="8">
        <v>630124924819.87427</v>
      </c>
      <c r="D14" s="8">
        <v>2006767276.4964149</v>
      </c>
      <c r="E14" s="8"/>
      <c r="F14" s="8"/>
    </row>
    <row r="15" spans="1:6" ht="15.75" thickBot="1">
      <c r="A15" s="9" t="s">
        <v>112</v>
      </c>
      <c r="B15" s="9">
        <v>319</v>
      </c>
      <c r="C15" s="9">
        <v>3435168616790.7393</v>
      </c>
      <c r="D15" s="9"/>
      <c r="E15" s="9"/>
      <c r="F15" s="9"/>
    </row>
    <row r="16" spans="1:6" ht="15.75" thickBot="1"/>
    <row r="17" spans="1:9">
      <c r="A17" s="10"/>
      <c r="B17" s="10" t="s">
        <v>119</v>
      </c>
      <c r="C17" s="10" t="s">
        <v>107</v>
      </c>
      <c r="D17" s="10" t="s">
        <v>120</v>
      </c>
      <c r="E17" s="10" t="s">
        <v>121</v>
      </c>
      <c r="F17" s="10" t="s">
        <v>122</v>
      </c>
      <c r="G17" s="10" t="s">
        <v>123</v>
      </c>
      <c r="H17" s="10" t="s">
        <v>124</v>
      </c>
      <c r="I17" s="10" t="s">
        <v>125</v>
      </c>
    </row>
    <row r="18" spans="1:9">
      <c r="A18" s="8" t="s">
        <v>113</v>
      </c>
      <c r="B18" s="8">
        <v>83914.599420588187</v>
      </c>
      <c r="C18" s="8">
        <v>44807.670590844122</v>
      </c>
      <c r="D18" s="8">
        <v>1.8727730835830387</v>
      </c>
      <c r="E18" s="8">
        <v>6.2028779216572197E-2</v>
      </c>
      <c r="F18" s="8">
        <v>-4246.6297069987049</v>
      </c>
      <c r="G18" s="8">
        <v>172075.82854817508</v>
      </c>
      <c r="H18" s="8">
        <v>-4246.6297069987049</v>
      </c>
      <c r="I18" s="8">
        <v>172075.82854817508</v>
      </c>
    </row>
    <row r="19" spans="1:9">
      <c r="A19" s="8" t="s">
        <v>4</v>
      </c>
      <c r="B19" s="8">
        <v>1.2062044070316935</v>
      </c>
      <c r="C19" s="8">
        <v>0.12982021723751311</v>
      </c>
      <c r="D19" s="8">
        <v>9.291344851356067</v>
      </c>
      <c r="E19" s="8">
        <v>2.6294105817111997E-18</v>
      </c>
      <c r="F19" s="8">
        <v>0.95077693744107028</v>
      </c>
      <c r="G19" s="8">
        <v>1.4616318766223166</v>
      </c>
      <c r="H19" s="8">
        <v>0.95077693744107028</v>
      </c>
      <c r="I19" s="8">
        <v>1.4616318766223166</v>
      </c>
    </row>
    <row r="20" spans="1:9">
      <c r="A20" s="8" t="s">
        <v>5</v>
      </c>
      <c r="B20" s="8">
        <v>33.485138884157863</v>
      </c>
      <c r="C20" s="8">
        <v>1.0353901842204796</v>
      </c>
      <c r="D20" s="8">
        <v>32.340599123380741</v>
      </c>
      <c r="E20" s="8">
        <v>5.8393678482621954E-102</v>
      </c>
      <c r="F20" s="8">
        <v>31.447959310574578</v>
      </c>
      <c r="G20" s="8">
        <v>35.52231845774115</v>
      </c>
      <c r="H20" s="8">
        <v>31.447959310574578</v>
      </c>
      <c r="I20" s="8">
        <v>35.52231845774115</v>
      </c>
    </row>
    <row r="21" spans="1:9">
      <c r="A21" s="8" t="s">
        <v>8</v>
      </c>
      <c r="B21" s="8">
        <v>3000.7841803505694</v>
      </c>
      <c r="C21" s="8">
        <v>469.07067042302566</v>
      </c>
      <c r="D21" s="8">
        <v>6.3972965473291028</v>
      </c>
      <c r="E21" s="8">
        <v>5.7366729901980846E-10</v>
      </c>
      <c r="F21" s="8">
        <v>2077.8652625203422</v>
      </c>
      <c r="G21" s="8">
        <v>3923.7030981807966</v>
      </c>
      <c r="H21" s="8">
        <v>2077.8652625203422</v>
      </c>
      <c r="I21" s="8">
        <v>3923.7030981807966</v>
      </c>
    </row>
    <row r="22" spans="1:9">
      <c r="A22" s="8" t="s">
        <v>11</v>
      </c>
      <c r="B22" s="8">
        <v>10915.393996796494</v>
      </c>
      <c r="C22" s="8">
        <v>3127.4431923346324</v>
      </c>
      <c r="D22" s="8">
        <v>3.4901973674694204</v>
      </c>
      <c r="E22" s="8">
        <v>5.5172752438580541E-4</v>
      </c>
      <c r="F22" s="8">
        <v>4762.0003428254468</v>
      </c>
      <c r="G22" s="8">
        <v>17068.787650767543</v>
      </c>
      <c r="H22" s="8">
        <v>4762.0003428254468</v>
      </c>
      <c r="I22" s="8">
        <v>17068.787650767543</v>
      </c>
    </row>
    <row r="23" spans="1:9" ht="15.75" thickBot="1">
      <c r="A23" s="9" t="s">
        <v>139</v>
      </c>
      <c r="B23" s="9">
        <v>26249.016414629834</v>
      </c>
      <c r="C23" s="9">
        <v>8880.5496178978028</v>
      </c>
      <c r="D23" s="9">
        <v>2.9557873717329088</v>
      </c>
      <c r="E23" s="9">
        <v>3.3548736653428138E-3</v>
      </c>
      <c r="F23" s="9">
        <v>8776.1114562013026</v>
      </c>
      <c r="G23" s="9">
        <v>43721.921373058365</v>
      </c>
      <c r="H23" s="9">
        <v>8776.1114562013026</v>
      </c>
      <c r="I23" s="9">
        <v>43721.921373058365</v>
      </c>
    </row>
    <row r="27" spans="1:9">
      <c r="A27" t="s">
        <v>135</v>
      </c>
    </row>
    <row r="28" spans="1:9" ht="15.75" thickBot="1"/>
    <row r="29" spans="1:9">
      <c r="A29" s="10" t="s">
        <v>136</v>
      </c>
      <c r="B29" s="10" t="s">
        <v>137</v>
      </c>
      <c r="C29" s="10" t="s">
        <v>138</v>
      </c>
    </row>
    <row r="30" spans="1:9">
      <c r="A30" s="8">
        <v>1</v>
      </c>
      <c r="B30" s="8">
        <v>705708.41204226715</v>
      </c>
      <c r="C30" s="8">
        <v>-46875.79204226716</v>
      </c>
    </row>
    <row r="31" spans="1:9">
      <c r="A31" s="8">
        <v>2</v>
      </c>
      <c r="B31" s="8">
        <v>704797.65521195461</v>
      </c>
      <c r="C31" s="8">
        <v>-70361.65521195461</v>
      </c>
    </row>
    <row r="32" spans="1:9">
      <c r="A32" s="8">
        <v>3</v>
      </c>
      <c r="B32" s="8">
        <v>760340.81765956897</v>
      </c>
      <c r="C32" s="8">
        <v>-81618.757659568917</v>
      </c>
    </row>
    <row r="33" spans="1:3">
      <c r="A33" s="8">
        <v>4</v>
      </c>
      <c r="B33" s="8">
        <v>766174.146773624</v>
      </c>
      <c r="C33" s="8">
        <v>-107253.84677362395</v>
      </c>
    </row>
    <row r="34" spans="1:3">
      <c r="A34" s="8">
        <v>5</v>
      </c>
      <c r="B34" s="8">
        <v>800646.98058267473</v>
      </c>
      <c r="C34" s="8">
        <v>-59305.540582674788</v>
      </c>
    </row>
    <row r="35" spans="1:3">
      <c r="A35" s="8">
        <v>6</v>
      </c>
      <c r="B35" s="8">
        <v>788487.32927338185</v>
      </c>
      <c r="C35" s="8">
        <v>-26651.989273381885</v>
      </c>
    </row>
    <row r="36" spans="1:3">
      <c r="A36" s="8">
        <v>7</v>
      </c>
      <c r="B36" s="8">
        <v>795555.628421681</v>
      </c>
      <c r="C36" s="8">
        <v>11059.911578319035</v>
      </c>
    </row>
    <row r="37" spans="1:3">
      <c r="A37" s="8">
        <v>8</v>
      </c>
      <c r="B37" s="8">
        <v>782427.83362687682</v>
      </c>
      <c r="C37" s="8">
        <v>67736.426373123191</v>
      </c>
    </row>
    <row r="38" spans="1:3">
      <c r="A38" s="8">
        <v>9</v>
      </c>
      <c r="B38" s="8">
        <v>871797.28073940729</v>
      </c>
      <c r="C38" s="8">
        <v>58784.419260592666</v>
      </c>
    </row>
    <row r="39" spans="1:3">
      <c r="A39" s="8">
        <v>10</v>
      </c>
      <c r="B39" s="8">
        <v>809993.71025104041</v>
      </c>
      <c r="C39" s="8">
        <v>-30982.770251040463</v>
      </c>
    </row>
    <row r="40" spans="1:3">
      <c r="A40" s="8">
        <v>11</v>
      </c>
      <c r="B40" s="8">
        <v>765092.02139150305</v>
      </c>
      <c r="C40" s="8">
        <v>-42031.261391503038</v>
      </c>
    </row>
    <row r="41" spans="1:3">
      <c r="A41" s="8">
        <v>12</v>
      </c>
      <c r="B41" s="8">
        <v>865644.74412152683</v>
      </c>
      <c r="C41" s="8">
        <v>45147.19587847311</v>
      </c>
    </row>
    <row r="42" spans="1:3">
      <c r="A42" s="8">
        <v>13</v>
      </c>
      <c r="B42" s="8">
        <v>889335.53474830999</v>
      </c>
      <c r="C42" s="8">
        <v>32833.065251689986</v>
      </c>
    </row>
    <row r="43" spans="1:3">
      <c r="A43" s="8">
        <v>14</v>
      </c>
      <c r="B43" s="8">
        <v>789482.83068969124</v>
      </c>
      <c r="C43" s="8">
        <v>-62876.550689691212</v>
      </c>
    </row>
    <row r="44" spans="1:3">
      <c r="A44" s="8">
        <v>15</v>
      </c>
      <c r="B44" s="8">
        <v>767433.85418163717</v>
      </c>
      <c r="C44" s="8">
        <v>-20932.764181637205</v>
      </c>
    </row>
    <row r="45" spans="1:3">
      <c r="A45" s="8">
        <v>16</v>
      </c>
      <c r="B45" s="8">
        <v>819755.36087232875</v>
      </c>
      <c r="C45" s="8">
        <v>14261.659127671272</v>
      </c>
    </row>
    <row r="46" spans="1:3">
      <c r="A46" s="8">
        <v>17</v>
      </c>
      <c r="B46" s="8">
        <v>682642.82017672656</v>
      </c>
      <c r="C46" s="8">
        <v>-16490.300176726538</v>
      </c>
    </row>
    <row r="47" spans="1:3">
      <c r="A47" s="8">
        <v>18</v>
      </c>
      <c r="B47" s="8">
        <v>600134.13058538933</v>
      </c>
      <c r="C47" s="8">
        <v>-26978.940585389384</v>
      </c>
    </row>
    <row r="48" spans="1:3">
      <c r="A48" s="8">
        <v>19</v>
      </c>
      <c r="B48" s="8">
        <v>689385.57087479357</v>
      </c>
      <c r="C48" s="8">
        <v>-22812.370874793618</v>
      </c>
    </row>
    <row r="49" spans="1:3">
      <c r="A49" s="8">
        <v>20</v>
      </c>
      <c r="B49" s="8">
        <v>605438.05780605634</v>
      </c>
      <c r="C49" s="8">
        <v>-13818.107806056389</v>
      </c>
    </row>
    <row r="50" spans="1:3">
      <c r="A50" s="8">
        <v>21</v>
      </c>
      <c r="B50" s="8">
        <v>524069.00854648044</v>
      </c>
      <c r="C50" s="8">
        <v>-108347.18854648044</v>
      </c>
    </row>
    <row r="51" spans="1:3">
      <c r="A51" s="8">
        <v>22</v>
      </c>
      <c r="B51" s="8">
        <v>515513.56971366133</v>
      </c>
      <c r="C51" s="8">
        <v>-23608.439713661326</v>
      </c>
    </row>
    <row r="52" spans="1:3">
      <c r="A52" s="8">
        <v>23</v>
      </c>
      <c r="B52" s="8">
        <v>543816.80976854498</v>
      </c>
      <c r="C52" s="8">
        <v>12112.590231455048</v>
      </c>
    </row>
    <row r="53" spans="1:3">
      <c r="A53" s="8">
        <v>24</v>
      </c>
      <c r="B53" s="8">
        <v>573943.40628840553</v>
      </c>
      <c r="C53" s="8">
        <v>-8132.4162884055404</v>
      </c>
    </row>
    <row r="54" spans="1:3">
      <c r="A54" s="8">
        <v>25</v>
      </c>
      <c r="B54" s="8">
        <v>818337.96957407636</v>
      </c>
      <c r="C54" s="8">
        <v>-6566.8295740763424</v>
      </c>
    </row>
    <row r="55" spans="1:3">
      <c r="A55" s="8">
        <v>26</v>
      </c>
      <c r="B55" s="8">
        <v>892042.42723785178</v>
      </c>
      <c r="C55" s="8">
        <v>-91590.487237851834</v>
      </c>
    </row>
    <row r="56" spans="1:3">
      <c r="A56" s="8">
        <v>27</v>
      </c>
      <c r="B56" s="8">
        <v>781929.85509085527</v>
      </c>
      <c r="C56" s="8">
        <v>1742.9649091446772</v>
      </c>
    </row>
    <row r="57" spans="1:3">
      <c r="A57" s="8">
        <v>28</v>
      </c>
      <c r="B57" s="8">
        <v>682415.92929164181</v>
      </c>
      <c r="C57" s="8">
        <v>19226.040708358167</v>
      </c>
    </row>
    <row r="58" spans="1:3">
      <c r="A58" s="8">
        <v>29</v>
      </c>
      <c r="B58" s="8">
        <v>594561.77717798215</v>
      </c>
      <c r="C58" s="8">
        <v>-82717.367177982174</v>
      </c>
    </row>
    <row r="59" spans="1:3">
      <c r="A59" s="8">
        <v>30</v>
      </c>
      <c r="B59" s="8">
        <v>536554.46867232083</v>
      </c>
      <c r="C59" s="8">
        <v>829.32132767920848</v>
      </c>
    </row>
    <row r="60" spans="1:3">
      <c r="A60" s="8">
        <v>31</v>
      </c>
      <c r="B60" s="8">
        <v>524155.13827076694</v>
      </c>
      <c r="C60" s="8">
        <v>-23982.118270766921</v>
      </c>
    </row>
    <row r="61" spans="1:3">
      <c r="A61" s="8">
        <v>32</v>
      </c>
      <c r="B61" s="8">
        <v>509707.37453195627</v>
      </c>
      <c r="C61" s="8">
        <v>-81789.994531956268</v>
      </c>
    </row>
    <row r="62" spans="1:3">
      <c r="A62" s="8">
        <v>33</v>
      </c>
      <c r="B62" s="8">
        <v>761312.09412942757</v>
      </c>
      <c r="C62" s="8">
        <v>-119447.06412942754</v>
      </c>
    </row>
    <row r="63" spans="1:3">
      <c r="A63" s="8">
        <v>34</v>
      </c>
      <c r="B63" s="8">
        <v>818673.72170365299</v>
      </c>
      <c r="C63" s="8">
        <v>-19195.961703652982</v>
      </c>
    </row>
    <row r="64" spans="1:3">
      <c r="A64" s="8">
        <v>35</v>
      </c>
      <c r="B64" s="8">
        <v>804650.12873639865</v>
      </c>
      <c r="C64" s="8">
        <v>-5697.9587363986066</v>
      </c>
    </row>
    <row r="65" spans="1:3">
      <c r="A65" s="8">
        <v>36</v>
      </c>
      <c r="B65" s="8">
        <v>833613.96309150185</v>
      </c>
      <c r="C65" s="8">
        <v>-32634.183091501822</v>
      </c>
    </row>
    <row r="66" spans="1:3">
      <c r="A66" s="8">
        <v>37</v>
      </c>
      <c r="B66" s="8">
        <v>765856.92596315569</v>
      </c>
      <c r="C66" s="8">
        <v>54737.004036844359</v>
      </c>
    </row>
    <row r="67" spans="1:3">
      <c r="A67" s="8">
        <v>38</v>
      </c>
      <c r="B67" s="8">
        <v>751145.22315463715</v>
      </c>
      <c r="C67" s="8">
        <v>-32814.69315463712</v>
      </c>
    </row>
    <row r="68" spans="1:3">
      <c r="A68" s="8">
        <v>39</v>
      </c>
      <c r="B68" s="8">
        <v>742192.69154701044</v>
      </c>
      <c r="C68" s="8">
        <v>-5559.2915470104199</v>
      </c>
    </row>
    <row r="69" spans="1:3">
      <c r="A69" s="8">
        <v>40</v>
      </c>
      <c r="B69" s="8">
        <v>820178.53463580471</v>
      </c>
      <c r="C69" s="8">
        <v>8445.3153641952667</v>
      </c>
    </row>
    <row r="70" spans="1:3">
      <c r="A70" s="8">
        <v>41</v>
      </c>
      <c r="B70" s="8">
        <v>588979.17184134375</v>
      </c>
      <c r="C70" s="8">
        <v>3216.6781586562283</v>
      </c>
    </row>
    <row r="71" spans="1:3">
      <c r="A71" s="8">
        <v>42</v>
      </c>
      <c r="B71" s="8">
        <v>521892.83070950414</v>
      </c>
      <c r="C71" s="8">
        <v>10751.629290495825</v>
      </c>
    </row>
    <row r="72" spans="1:3">
      <c r="A72" s="8">
        <v>43</v>
      </c>
      <c r="B72" s="8">
        <v>586870.83553334116</v>
      </c>
      <c r="C72" s="8">
        <v>70558.344466658891</v>
      </c>
    </row>
    <row r="73" spans="1:3">
      <c r="A73" s="8">
        <v>44</v>
      </c>
      <c r="B73" s="8">
        <v>593442.10426366376</v>
      </c>
      <c r="C73" s="8">
        <v>11735.895736336242</v>
      </c>
    </row>
    <row r="74" spans="1:3">
      <c r="A74" s="8">
        <v>45</v>
      </c>
      <c r="B74" s="8">
        <v>723282.19257888268</v>
      </c>
      <c r="C74" s="8">
        <v>-127814.5925788827</v>
      </c>
    </row>
    <row r="75" spans="1:3">
      <c r="A75" s="8">
        <v>46</v>
      </c>
      <c r="B75" s="8">
        <v>644090.55773763824</v>
      </c>
      <c r="C75" s="8">
        <v>-44487.157737638219</v>
      </c>
    </row>
    <row r="76" spans="1:3">
      <c r="A76" s="8">
        <v>47</v>
      </c>
      <c r="B76" s="8">
        <v>579355.48169349181</v>
      </c>
      <c r="C76" s="8">
        <v>35444.608306508162</v>
      </c>
    </row>
    <row r="77" spans="1:3">
      <c r="A77" s="8">
        <v>48</v>
      </c>
      <c r="B77" s="8">
        <v>571196.63861181273</v>
      </c>
      <c r="C77" s="8">
        <v>14169.091388187255</v>
      </c>
    </row>
    <row r="78" spans="1:3">
      <c r="A78" s="8">
        <v>49</v>
      </c>
      <c r="B78" s="8">
        <v>654339.53540204989</v>
      </c>
      <c r="C78" s="8">
        <v>-31527.795402049902</v>
      </c>
    </row>
    <row r="79" spans="1:3">
      <c r="A79" s="8">
        <v>50</v>
      </c>
      <c r="B79" s="8">
        <v>593285.7465405995</v>
      </c>
      <c r="C79" s="8">
        <v>10011.823459400446</v>
      </c>
    </row>
    <row r="80" spans="1:3">
      <c r="A80" s="8">
        <v>51</v>
      </c>
      <c r="B80" s="8">
        <v>604990.40323585656</v>
      </c>
      <c r="C80" s="8">
        <v>20682.456764143426</v>
      </c>
    </row>
    <row r="81" spans="1:3">
      <c r="A81" s="8">
        <v>52</v>
      </c>
      <c r="B81" s="8">
        <v>734803.76621512463</v>
      </c>
      <c r="C81" s="8">
        <v>39011.373784875381</v>
      </c>
    </row>
    <row r="82" spans="1:3">
      <c r="A82" s="8">
        <v>53</v>
      </c>
      <c r="B82" s="8">
        <v>553195.99430561357</v>
      </c>
      <c r="C82" s="8">
        <v>-89661.744305613567</v>
      </c>
    </row>
    <row r="83" spans="1:3">
      <c r="A83" s="8">
        <v>54</v>
      </c>
      <c r="B83" s="8">
        <v>718981.99162359198</v>
      </c>
      <c r="C83" s="8">
        <v>27695.758376408019</v>
      </c>
    </row>
    <row r="84" spans="1:3">
      <c r="A84" s="8">
        <v>55</v>
      </c>
      <c r="B84" s="8">
        <v>677562.19749381987</v>
      </c>
      <c r="C84" s="8">
        <v>43290.302506180131</v>
      </c>
    </row>
    <row r="85" spans="1:3">
      <c r="A85" s="8">
        <v>56</v>
      </c>
      <c r="B85" s="8">
        <v>526048.55061148515</v>
      </c>
      <c r="C85" s="8">
        <v>-38583.640611485171</v>
      </c>
    </row>
    <row r="86" spans="1:3">
      <c r="A86" s="8">
        <v>57</v>
      </c>
      <c r="B86" s="8">
        <v>535827.71610220021</v>
      </c>
      <c r="C86" s="8">
        <v>-17778.456102200202</v>
      </c>
    </row>
    <row r="87" spans="1:3">
      <c r="A87" s="8">
        <v>58</v>
      </c>
      <c r="B87" s="8">
        <v>534480.68864237994</v>
      </c>
      <c r="C87" s="8">
        <v>-34182.208642379963</v>
      </c>
    </row>
    <row r="88" spans="1:3">
      <c r="A88" s="8">
        <v>59</v>
      </c>
      <c r="B88" s="8">
        <v>683477.2129441587</v>
      </c>
      <c r="C88" s="8">
        <v>-66186.062944158679</v>
      </c>
    </row>
    <row r="89" spans="1:3">
      <c r="A89" s="8">
        <v>60</v>
      </c>
      <c r="B89" s="8">
        <v>620306.34900597762</v>
      </c>
      <c r="C89" s="8">
        <v>-66549.919005977572</v>
      </c>
    </row>
    <row r="90" spans="1:3">
      <c r="A90" s="8">
        <v>61</v>
      </c>
      <c r="B90" s="8">
        <v>679203.00736743328</v>
      </c>
      <c r="C90" s="8">
        <v>70356.702632566681</v>
      </c>
    </row>
    <row r="91" spans="1:3">
      <c r="A91" s="8">
        <v>62</v>
      </c>
      <c r="B91" s="8">
        <v>561463.47495238949</v>
      </c>
      <c r="C91" s="8">
        <v>54503.005047610495</v>
      </c>
    </row>
    <row r="92" spans="1:3">
      <c r="A92" s="8">
        <v>63</v>
      </c>
      <c r="B92" s="8">
        <v>575579.49305873294</v>
      </c>
      <c r="C92" s="8">
        <v>-3568.2930587329902</v>
      </c>
    </row>
    <row r="93" spans="1:3">
      <c r="A93" s="8">
        <v>64</v>
      </c>
      <c r="B93" s="8">
        <v>707571.94869316276</v>
      </c>
      <c r="C93" s="8">
        <v>54288.241306837182</v>
      </c>
    </row>
    <row r="94" spans="1:3">
      <c r="A94" s="8">
        <v>65</v>
      </c>
      <c r="B94" s="8">
        <v>798110.59441504988</v>
      </c>
      <c r="C94" s="8">
        <v>-13607.914415049832</v>
      </c>
    </row>
    <row r="95" spans="1:3">
      <c r="A95" s="8">
        <v>66</v>
      </c>
      <c r="B95" s="8">
        <v>730750.95986787498</v>
      </c>
      <c r="C95" s="8">
        <v>-13609.409867874929</v>
      </c>
    </row>
    <row r="96" spans="1:3">
      <c r="A96" s="8">
        <v>67</v>
      </c>
      <c r="B96" s="8">
        <v>834024.02674249269</v>
      </c>
      <c r="C96" s="8">
        <v>-148644.94674249273</v>
      </c>
    </row>
    <row r="97" spans="1:3">
      <c r="A97" s="8">
        <v>68</v>
      </c>
      <c r="B97" s="8">
        <v>724974.41820527276</v>
      </c>
      <c r="C97" s="8">
        <v>15522.231794727268</v>
      </c>
    </row>
    <row r="98" spans="1:3">
      <c r="A98" s="8">
        <v>69</v>
      </c>
      <c r="B98" s="8">
        <v>592648.99904239469</v>
      </c>
      <c r="C98" s="8">
        <v>69278.140957605327</v>
      </c>
    </row>
    <row r="99" spans="1:3">
      <c r="A99" s="8">
        <v>70</v>
      </c>
      <c r="B99" s="8">
        <v>504700.97478843748</v>
      </c>
      <c r="C99" s="8">
        <v>-25650.474788437481</v>
      </c>
    </row>
    <row r="100" spans="1:3">
      <c r="A100" s="8">
        <v>71</v>
      </c>
      <c r="B100" s="8">
        <v>595901.53874808981</v>
      </c>
      <c r="C100" s="8">
        <v>9122.3312519101892</v>
      </c>
    </row>
    <row r="101" spans="1:3">
      <c r="A101" s="8">
        <v>72</v>
      </c>
      <c r="B101" s="8">
        <v>636292.61099624983</v>
      </c>
      <c r="C101" s="8">
        <v>38481.479003750137</v>
      </c>
    </row>
    <row r="102" spans="1:3">
      <c r="A102" s="8">
        <v>73</v>
      </c>
      <c r="B102" s="8">
        <v>623389.122397542</v>
      </c>
      <c r="C102" s="8">
        <v>-7319.7123975419672</v>
      </c>
    </row>
    <row r="103" spans="1:3">
      <c r="A103" s="8">
        <v>74</v>
      </c>
      <c r="B103" s="8">
        <v>709067.71983538975</v>
      </c>
      <c r="C103" s="8">
        <v>-78237.779835389811</v>
      </c>
    </row>
    <row r="104" spans="1:3">
      <c r="A104" s="8">
        <v>75</v>
      </c>
      <c r="B104" s="8">
        <v>722732.59880929813</v>
      </c>
      <c r="C104" s="8">
        <v>65355.081190701923</v>
      </c>
    </row>
    <row r="105" spans="1:3">
      <c r="A105" s="8">
        <v>76</v>
      </c>
      <c r="B105" s="8">
        <v>735884.11326159292</v>
      </c>
      <c r="C105" s="8">
        <v>-55043.753261592938</v>
      </c>
    </row>
    <row r="106" spans="1:3">
      <c r="A106" s="8">
        <v>77</v>
      </c>
      <c r="B106" s="8">
        <v>643804.08706844575</v>
      </c>
      <c r="C106" s="8">
        <v>-146.61706844577566</v>
      </c>
    </row>
    <row r="107" spans="1:3">
      <c r="A107" s="8">
        <v>78</v>
      </c>
      <c r="B107" s="8">
        <v>637662.44635084271</v>
      </c>
      <c r="C107" s="8">
        <v>53450.153649157262</v>
      </c>
    </row>
    <row r="108" spans="1:3">
      <c r="A108" s="8">
        <v>79</v>
      </c>
      <c r="B108" s="8">
        <v>717810.08259880531</v>
      </c>
      <c r="C108" s="8">
        <v>59112.087401194731</v>
      </c>
    </row>
    <row r="109" spans="1:3">
      <c r="A109" s="8">
        <v>80</v>
      </c>
      <c r="B109" s="8">
        <v>656931.65689482866</v>
      </c>
      <c r="C109" s="8">
        <v>-20370.316894828691</v>
      </c>
    </row>
    <row r="110" spans="1:3">
      <c r="A110" s="8">
        <v>81</v>
      </c>
      <c r="B110" s="8">
        <v>640480.7484670995</v>
      </c>
      <c r="C110" s="8">
        <v>-19111.168467099546</v>
      </c>
    </row>
    <row r="111" spans="1:3">
      <c r="A111" s="8">
        <v>82</v>
      </c>
      <c r="B111" s="8">
        <v>625168.24668584182</v>
      </c>
      <c r="C111" s="8">
        <v>57039.76331415819</v>
      </c>
    </row>
    <row r="112" spans="1:3">
      <c r="A112" s="8">
        <v>83</v>
      </c>
      <c r="B112" s="8">
        <v>638727.32048885489</v>
      </c>
      <c r="C112" s="8">
        <v>88514.539511145093</v>
      </c>
    </row>
    <row r="113" spans="1:3">
      <c r="A113" s="8">
        <v>84</v>
      </c>
      <c r="B113" s="8">
        <v>543795.58312476892</v>
      </c>
      <c r="C113" s="8">
        <v>25305.196875231108</v>
      </c>
    </row>
    <row r="114" spans="1:3">
      <c r="A114" s="8">
        <v>85</v>
      </c>
      <c r="B114" s="8">
        <v>563978.94567691791</v>
      </c>
      <c r="C114" s="8">
        <v>10457.344323082129</v>
      </c>
    </row>
    <row r="115" spans="1:3">
      <c r="A115" s="8">
        <v>86</v>
      </c>
      <c r="B115" s="8">
        <v>600442.42683547107</v>
      </c>
      <c r="C115" s="8">
        <v>11324.293164528906</v>
      </c>
    </row>
    <row r="116" spans="1:3">
      <c r="A116" s="8">
        <v>87</v>
      </c>
      <c r="B116" s="8">
        <v>617625.5742735354</v>
      </c>
      <c r="C116" s="8">
        <v>-3029.2542735354509</v>
      </c>
    </row>
    <row r="117" spans="1:3">
      <c r="A117" s="8">
        <v>88</v>
      </c>
      <c r="B117" s="8">
        <v>458497.88488356443</v>
      </c>
      <c r="C117" s="8">
        <v>-7785.9648835644475</v>
      </c>
    </row>
    <row r="118" spans="1:3">
      <c r="A118" s="8">
        <v>89</v>
      </c>
      <c r="B118" s="8">
        <v>662464.39927570638</v>
      </c>
      <c r="C118" s="8">
        <v>48749.06072429358</v>
      </c>
    </row>
    <row r="119" spans="1:3">
      <c r="A119" s="8">
        <v>90</v>
      </c>
      <c r="B119" s="8">
        <v>745648.36764166842</v>
      </c>
      <c r="C119" s="8">
        <v>-118476.46764166839</v>
      </c>
    </row>
    <row r="120" spans="1:3">
      <c r="A120" s="8">
        <v>91</v>
      </c>
      <c r="B120" s="8">
        <v>710246.86086670309</v>
      </c>
      <c r="C120" s="8">
        <v>29605.719133296865</v>
      </c>
    </row>
    <row r="121" spans="1:3">
      <c r="A121" s="8">
        <v>92</v>
      </c>
      <c r="B121" s="8">
        <v>546588.34878726024</v>
      </c>
      <c r="C121" s="8">
        <v>39718.87121273973</v>
      </c>
    </row>
    <row r="122" spans="1:3">
      <c r="A122" s="8">
        <v>93</v>
      </c>
      <c r="B122" s="8">
        <v>605483.0144494538</v>
      </c>
      <c r="C122" s="8">
        <v>-19545.534449453815</v>
      </c>
    </row>
    <row r="123" spans="1:3">
      <c r="A123" s="8">
        <v>94</v>
      </c>
      <c r="B123" s="8">
        <v>704033.97981986217</v>
      </c>
      <c r="C123" s="8">
        <v>49439.570180137875</v>
      </c>
    </row>
    <row r="124" spans="1:3">
      <c r="A124" s="8">
        <v>95</v>
      </c>
      <c r="B124" s="8">
        <v>783582.17449727992</v>
      </c>
      <c r="C124" s="8">
        <v>54668.145502720028</v>
      </c>
    </row>
    <row r="125" spans="1:3">
      <c r="A125" s="8">
        <v>96</v>
      </c>
      <c r="B125" s="8">
        <v>629727.88684800989</v>
      </c>
      <c r="C125" s="8">
        <v>-21829.766848009895</v>
      </c>
    </row>
    <row r="126" spans="1:3">
      <c r="A126" s="8">
        <v>97</v>
      </c>
      <c r="B126" s="8">
        <v>692855.44368866994</v>
      </c>
      <c r="C126" s="8">
        <v>-1741.8236886699451</v>
      </c>
    </row>
    <row r="127" spans="1:3">
      <c r="A127" s="8">
        <v>98</v>
      </c>
      <c r="B127" s="8">
        <v>655862.96119999536</v>
      </c>
      <c r="C127" s="8">
        <v>79646.43880000466</v>
      </c>
    </row>
    <row r="128" spans="1:3">
      <c r="A128" s="8">
        <v>99</v>
      </c>
      <c r="B128" s="8">
        <v>604546.90715122886</v>
      </c>
      <c r="C128" s="8">
        <v>1228.4228487710934</v>
      </c>
    </row>
    <row r="129" spans="1:3">
      <c r="A129" s="8">
        <v>100</v>
      </c>
      <c r="B129" s="8">
        <v>648311.90151792637</v>
      </c>
      <c r="C129" s="8">
        <v>26865.778482073685</v>
      </c>
    </row>
    <row r="130" spans="1:3">
      <c r="A130" s="8">
        <v>101</v>
      </c>
      <c r="B130" s="8">
        <v>592197.95436485764</v>
      </c>
      <c r="C130" s="8">
        <v>42983.39563514234</v>
      </c>
    </row>
    <row r="131" spans="1:3">
      <c r="A131" s="8">
        <v>102</v>
      </c>
      <c r="B131" s="8">
        <v>629031.76939835248</v>
      </c>
      <c r="C131" s="8">
        <v>-42404.829398352536</v>
      </c>
    </row>
    <row r="132" spans="1:3">
      <c r="A132" s="8">
        <v>103</v>
      </c>
      <c r="B132" s="8">
        <v>710936.12866608601</v>
      </c>
      <c r="C132" s="8">
        <v>29166.511333914008</v>
      </c>
    </row>
    <row r="133" spans="1:3">
      <c r="A133" s="8">
        <v>104</v>
      </c>
      <c r="B133" s="8">
        <v>534617.08104932029</v>
      </c>
      <c r="C133" s="8">
        <v>90896.958950679749</v>
      </c>
    </row>
    <row r="134" spans="1:3">
      <c r="A134" s="8">
        <v>105</v>
      </c>
      <c r="B134" s="8">
        <v>679315.43167110707</v>
      </c>
      <c r="C134" s="8">
        <v>47911.768328892882</v>
      </c>
    </row>
    <row r="135" spans="1:3">
      <c r="A135" s="8">
        <v>106</v>
      </c>
      <c r="B135" s="8">
        <v>774837.95896007773</v>
      </c>
      <c r="C135" s="8">
        <v>8959.9310399222886</v>
      </c>
    </row>
    <row r="136" spans="1:3">
      <c r="A136" s="8">
        <v>107</v>
      </c>
      <c r="B136" s="8">
        <v>710714.64743270737</v>
      </c>
      <c r="C136" s="8">
        <v>84439.192567292601</v>
      </c>
    </row>
    <row r="137" spans="1:3">
      <c r="A137" s="8">
        <v>108</v>
      </c>
      <c r="B137" s="8">
        <v>655333.99933975644</v>
      </c>
      <c r="C137" s="8">
        <v>10260.940660243505</v>
      </c>
    </row>
    <row r="138" spans="1:3">
      <c r="A138" s="8">
        <v>109</v>
      </c>
      <c r="B138" s="8">
        <v>671194.8116546165</v>
      </c>
      <c r="C138" s="8">
        <v>38283.578345383517</v>
      </c>
    </row>
    <row r="139" spans="1:3">
      <c r="A139" s="8">
        <v>110</v>
      </c>
      <c r="B139" s="8">
        <v>652619.49453898007</v>
      </c>
      <c r="C139" s="8">
        <v>11542.99546101992</v>
      </c>
    </row>
    <row r="140" spans="1:3">
      <c r="A140" s="8">
        <v>111</v>
      </c>
      <c r="B140" s="8">
        <v>651510.40485204244</v>
      </c>
      <c r="C140" s="8">
        <v>-18016.194852042478</v>
      </c>
    </row>
    <row r="141" spans="1:3">
      <c r="A141" s="8">
        <v>112</v>
      </c>
      <c r="B141" s="8">
        <v>596977.45120207872</v>
      </c>
      <c r="C141" s="8">
        <v>116633.70879792131</v>
      </c>
    </row>
    <row r="142" spans="1:3">
      <c r="A142" s="8">
        <v>113</v>
      </c>
      <c r="B142" s="8">
        <v>721332.34757930541</v>
      </c>
      <c r="C142" s="8">
        <v>57065.622420694563</v>
      </c>
    </row>
    <row r="143" spans="1:3">
      <c r="A143" s="8">
        <v>114</v>
      </c>
      <c r="B143" s="8">
        <v>819541.96413588012</v>
      </c>
      <c r="C143" s="8">
        <v>53838.055864119902</v>
      </c>
    </row>
    <row r="144" spans="1:3">
      <c r="A144" s="8">
        <v>115</v>
      </c>
      <c r="B144" s="8">
        <v>729182.14657605835</v>
      </c>
      <c r="C144" s="8">
        <v>-31894.246576058329</v>
      </c>
    </row>
    <row r="145" spans="1:3">
      <c r="A145" s="8">
        <v>116</v>
      </c>
      <c r="B145" s="8">
        <v>738561.88972115389</v>
      </c>
      <c r="C145" s="8">
        <v>-20487.099721153849</v>
      </c>
    </row>
    <row r="146" spans="1:3">
      <c r="A146" s="8">
        <v>117</v>
      </c>
      <c r="B146" s="8">
        <v>722868.79122022865</v>
      </c>
      <c r="C146" s="8">
        <v>-7926.3612202286022</v>
      </c>
    </row>
    <row r="147" spans="1:3">
      <c r="A147" s="8">
        <v>118</v>
      </c>
      <c r="B147" s="8">
        <v>739184.45897138398</v>
      </c>
      <c r="C147" s="8">
        <v>81334.581028616056</v>
      </c>
    </row>
    <row r="148" spans="1:3">
      <c r="A148" s="8">
        <v>119</v>
      </c>
      <c r="B148" s="8">
        <v>760788.54948605946</v>
      </c>
      <c r="C148" s="8">
        <v>-76571.229486059514</v>
      </c>
    </row>
    <row r="149" spans="1:3">
      <c r="A149" s="8">
        <v>120</v>
      </c>
      <c r="B149" s="8">
        <v>750415.66870969604</v>
      </c>
      <c r="C149" s="8">
        <v>-14935.478709696094</v>
      </c>
    </row>
    <row r="150" spans="1:3">
      <c r="A150" s="8">
        <v>121</v>
      </c>
      <c r="B150" s="8">
        <v>562973.3655538864</v>
      </c>
      <c r="C150" s="8">
        <v>-53488.555553886399</v>
      </c>
    </row>
    <row r="151" spans="1:3">
      <c r="A151" s="8">
        <v>122</v>
      </c>
      <c r="B151" s="8">
        <v>616434.00980244449</v>
      </c>
      <c r="C151" s="8">
        <v>37883.080197555479</v>
      </c>
    </row>
    <row r="152" spans="1:3">
      <c r="A152" s="8">
        <v>123</v>
      </c>
      <c r="B152" s="8">
        <v>590132.2348380473</v>
      </c>
      <c r="C152" s="8">
        <v>-32644.974838047288</v>
      </c>
    </row>
    <row r="153" spans="1:3">
      <c r="A153" s="8">
        <v>124</v>
      </c>
      <c r="B153" s="8">
        <v>512236.15414734394</v>
      </c>
      <c r="C153" s="8">
        <v>-70960.734147343959</v>
      </c>
    </row>
    <row r="154" spans="1:3">
      <c r="A154" s="8">
        <v>125</v>
      </c>
      <c r="B154" s="8">
        <v>823020.3594498646</v>
      </c>
      <c r="C154" s="8">
        <v>91523.810550135444</v>
      </c>
    </row>
    <row r="155" spans="1:3">
      <c r="A155" s="8">
        <v>126</v>
      </c>
      <c r="B155" s="8">
        <v>851774.84481733339</v>
      </c>
      <c r="C155" s="8">
        <v>-9335.1748173333472</v>
      </c>
    </row>
    <row r="156" spans="1:3">
      <c r="A156" s="8">
        <v>127</v>
      </c>
      <c r="B156" s="8">
        <v>790828.05444491515</v>
      </c>
      <c r="C156" s="8">
        <v>51329.865555084893</v>
      </c>
    </row>
    <row r="157" spans="1:3">
      <c r="A157" s="8">
        <v>128</v>
      </c>
      <c r="B157" s="8">
        <v>701782.63148184284</v>
      </c>
      <c r="C157" s="8">
        <v>-4627.3314818427898</v>
      </c>
    </row>
    <row r="158" spans="1:3">
      <c r="A158" s="8">
        <v>129</v>
      </c>
      <c r="B158" s="8">
        <v>832368.46205762168</v>
      </c>
      <c r="C158" s="8">
        <v>16649.837942378363</v>
      </c>
    </row>
    <row r="159" spans="1:3">
      <c r="A159" s="8">
        <v>130</v>
      </c>
      <c r="B159" s="8">
        <v>808565.94772391382</v>
      </c>
      <c r="C159" s="8">
        <v>-6735.5977239138447</v>
      </c>
    </row>
    <row r="160" spans="1:3">
      <c r="A160" s="8">
        <v>131</v>
      </c>
      <c r="B160" s="8">
        <v>797798.51994929963</v>
      </c>
      <c r="C160" s="8">
        <v>-72563.239949299605</v>
      </c>
    </row>
    <row r="161" spans="1:3">
      <c r="A161" s="8">
        <v>132</v>
      </c>
      <c r="B161" s="8">
        <v>831104.77151752228</v>
      </c>
      <c r="C161" s="8">
        <v>-19652.051517522312</v>
      </c>
    </row>
    <row r="162" spans="1:3">
      <c r="A162" s="8">
        <v>133</v>
      </c>
      <c r="B162" s="8">
        <v>582374.09872959345</v>
      </c>
      <c r="C162" s="8">
        <v>-55073.968729593442</v>
      </c>
    </row>
    <row r="163" spans="1:3">
      <c r="A163" s="8">
        <v>134</v>
      </c>
      <c r="B163" s="8">
        <v>414643.14782129868</v>
      </c>
      <c r="C163" s="8">
        <v>-13811.497821298661</v>
      </c>
    </row>
    <row r="164" spans="1:3">
      <c r="A164" s="8">
        <v>135</v>
      </c>
      <c r="B164" s="8">
        <v>603033.47334452556</v>
      </c>
      <c r="C164" s="8">
        <v>-9786.2233445255551</v>
      </c>
    </row>
    <row r="165" spans="1:3">
      <c r="A165" s="8">
        <v>136</v>
      </c>
      <c r="B165" s="8">
        <v>554203.8548514765</v>
      </c>
      <c r="C165" s="8">
        <v>-25127.904851476545</v>
      </c>
    </row>
    <row r="166" spans="1:3">
      <c r="A166" s="8">
        <v>137</v>
      </c>
      <c r="B166" s="8">
        <v>668433.91382861382</v>
      </c>
      <c r="C166" s="8">
        <v>-34795.883828613791</v>
      </c>
    </row>
    <row r="167" spans="1:3">
      <c r="A167" s="8">
        <v>138</v>
      </c>
      <c r="B167" s="8">
        <v>712955.8959338729</v>
      </c>
      <c r="C167" s="8">
        <v>30392.944066127064</v>
      </c>
    </row>
    <row r="168" spans="1:3">
      <c r="A168" s="8">
        <v>139</v>
      </c>
      <c r="B168" s="8">
        <v>693900.61885383155</v>
      </c>
      <c r="C168" s="8">
        <v>64927.021146168467</v>
      </c>
    </row>
    <row r="169" spans="1:3">
      <c r="A169" s="8">
        <v>140</v>
      </c>
      <c r="B169" s="8">
        <v>629605.52697599446</v>
      </c>
      <c r="C169" s="8">
        <v>16954.183024005499</v>
      </c>
    </row>
    <row r="170" spans="1:3">
      <c r="A170" s="8">
        <v>141</v>
      </c>
      <c r="B170" s="8">
        <v>672381.80420807307</v>
      </c>
      <c r="C170" s="8">
        <v>43508.725791926961</v>
      </c>
    </row>
    <row r="171" spans="1:3">
      <c r="A171" s="8">
        <v>142</v>
      </c>
      <c r="B171" s="8">
        <v>692048.86474350141</v>
      </c>
      <c r="C171" s="8">
        <v>23048.705256498535</v>
      </c>
    </row>
    <row r="172" spans="1:3">
      <c r="A172" s="8">
        <v>143</v>
      </c>
      <c r="B172" s="8">
        <v>633100.8341523892</v>
      </c>
      <c r="C172" s="8">
        <v>49538.445847610827</v>
      </c>
    </row>
    <row r="173" spans="1:3">
      <c r="A173" s="8">
        <v>144</v>
      </c>
      <c r="B173" s="8">
        <v>672998.55319539108</v>
      </c>
      <c r="C173" s="8">
        <v>22099.956804608926</v>
      </c>
    </row>
    <row r="174" spans="1:3">
      <c r="A174" s="8">
        <v>145</v>
      </c>
      <c r="B174" s="8">
        <v>618925.68963017839</v>
      </c>
      <c r="C174" s="8">
        <v>-41193.119630178437</v>
      </c>
    </row>
    <row r="175" spans="1:3">
      <c r="A175" s="8">
        <v>146</v>
      </c>
      <c r="B175" s="8">
        <v>570244.09970385628</v>
      </c>
      <c r="C175" s="8">
        <v>-33185.76970385632</v>
      </c>
    </row>
    <row r="176" spans="1:3">
      <c r="A176" s="8">
        <v>147</v>
      </c>
      <c r="B176" s="8">
        <v>609166.67887880583</v>
      </c>
      <c r="C176" s="8">
        <v>-7597.8088788058376</v>
      </c>
    </row>
    <row r="177" spans="1:3">
      <c r="A177" s="8">
        <v>148</v>
      </c>
      <c r="B177" s="8">
        <v>574233.40471769474</v>
      </c>
      <c r="C177" s="8">
        <v>-3268.5647176947678</v>
      </c>
    </row>
    <row r="178" spans="1:3">
      <c r="A178" s="8">
        <v>149</v>
      </c>
      <c r="B178" s="8">
        <v>630415.30052263371</v>
      </c>
      <c r="C178" s="8">
        <v>-16390.390522633679</v>
      </c>
    </row>
    <row r="179" spans="1:3">
      <c r="A179" s="8">
        <v>150</v>
      </c>
      <c r="B179" s="8">
        <v>697359.19603262679</v>
      </c>
      <c r="C179" s="8">
        <v>15509.15396737319</v>
      </c>
    </row>
    <row r="180" spans="1:3">
      <c r="A180" s="8">
        <v>151</v>
      </c>
      <c r="B180" s="8">
        <v>652023.02270188276</v>
      </c>
      <c r="C180" s="8">
        <v>44721.127298117266</v>
      </c>
    </row>
    <row r="181" spans="1:3">
      <c r="A181" s="8">
        <v>152</v>
      </c>
      <c r="B181" s="8">
        <v>696244.24518442852</v>
      </c>
      <c r="C181" s="8">
        <v>29603.744815571466</v>
      </c>
    </row>
    <row r="182" spans="1:3">
      <c r="A182" s="8">
        <v>153</v>
      </c>
      <c r="B182" s="8">
        <v>810481.25313108147</v>
      </c>
      <c r="C182" s="8">
        <v>-25453.003131081467</v>
      </c>
    </row>
    <row r="183" spans="1:3">
      <c r="A183" s="8">
        <v>154</v>
      </c>
      <c r="B183" s="8">
        <v>694166.42112842051</v>
      </c>
      <c r="C183" s="8">
        <v>4326.2488715795334</v>
      </c>
    </row>
    <row r="184" spans="1:3">
      <c r="A184" s="8">
        <v>155</v>
      </c>
      <c r="B184" s="8">
        <v>734774.39173554257</v>
      </c>
      <c r="C184" s="8">
        <v>-48944.151735542575</v>
      </c>
    </row>
    <row r="185" spans="1:3">
      <c r="A185" s="8">
        <v>156</v>
      </c>
      <c r="B185" s="8">
        <v>711416.84573196177</v>
      </c>
      <c r="C185" s="8">
        <v>-9097.9057319618296</v>
      </c>
    </row>
    <row r="186" spans="1:3">
      <c r="A186" s="8">
        <v>157</v>
      </c>
      <c r="B186" s="8">
        <v>702059.01178529393</v>
      </c>
      <c r="C186" s="8">
        <v>-1980.6917852939805</v>
      </c>
    </row>
    <row r="187" spans="1:3">
      <c r="A187" s="8">
        <v>158</v>
      </c>
      <c r="B187" s="8">
        <v>622847.79389346251</v>
      </c>
      <c r="C187" s="8">
        <v>-20845.473893462564</v>
      </c>
    </row>
    <row r="188" spans="1:3">
      <c r="A188" s="8">
        <v>159</v>
      </c>
      <c r="B188" s="8">
        <v>647238.30989621102</v>
      </c>
      <c r="C188" s="8">
        <v>76977.760103788925</v>
      </c>
    </row>
    <row r="189" spans="1:3">
      <c r="A189" s="8">
        <v>160</v>
      </c>
      <c r="B189" s="8">
        <v>555875.42248760187</v>
      </c>
      <c r="C189" s="8">
        <v>65097.607512398157</v>
      </c>
    </row>
    <row r="190" spans="1:3">
      <c r="A190" s="8">
        <v>161</v>
      </c>
      <c r="B190" s="8">
        <v>697567.76422317862</v>
      </c>
      <c r="C190" s="8">
        <v>-47087.70422317856</v>
      </c>
    </row>
    <row r="191" spans="1:3">
      <c r="A191" s="8">
        <v>162</v>
      </c>
      <c r="B191" s="8">
        <v>695385.86003861425</v>
      </c>
      <c r="C191" s="8">
        <v>82913.019961385755</v>
      </c>
    </row>
    <row r="192" spans="1:3">
      <c r="A192" s="8">
        <v>163</v>
      </c>
      <c r="B192" s="8">
        <v>685696.23234377988</v>
      </c>
      <c r="C192" s="8">
        <v>-8599.5223437799141</v>
      </c>
    </row>
    <row r="193" spans="1:3">
      <c r="A193" s="8">
        <v>164</v>
      </c>
      <c r="B193" s="8">
        <v>695736.50221221417</v>
      </c>
      <c r="C193" s="8">
        <v>-3727.8622122141533</v>
      </c>
    </row>
    <row r="194" spans="1:3">
      <c r="A194" s="8">
        <v>165</v>
      </c>
      <c r="B194" s="8">
        <v>778826.03923055157</v>
      </c>
      <c r="C194" s="8">
        <v>46971.870769448462</v>
      </c>
    </row>
    <row r="195" spans="1:3">
      <c r="A195" s="8">
        <v>166</v>
      </c>
      <c r="B195" s="8">
        <v>725010.65383094293</v>
      </c>
      <c r="C195" s="8">
        <v>-18725.133830942912</v>
      </c>
    </row>
    <row r="196" spans="1:3">
      <c r="A196" s="8">
        <v>167</v>
      </c>
      <c r="B196" s="8">
        <v>667450.6026838593</v>
      </c>
      <c r="C196" s="8">
        <v>-1915.9026838593418</v>
      </c>
    </row>
    <row r="197" spans="1:3">
      <c r="A197" s="8">
        <v>168</v>
      </c>
      <c r="B197" s="8">
        <v>807042.56768210162</v>
      </c>
      <c r="C197" s="8">
        <v>13686.722317898413</v>
      </c>
    </row>
    <row r="198" spans="1:3">
      <c r="A198" s="8">
        <v>169</v>
      </c>
      <c r="B198" s="8">
        <v>787514.08042629459</v>
      </c>
      <c r="C198" s="8">
        <v>-47682.350426294608</v>
      </c>
    </row>
    <row r="199" spans="1:3">
      <c r="A199" s="8">
        <v>170</v>
      </c>
      <c r="B199" s="8">
        <v>684146.02563702746</v>
      </c>
      <c r="C199" s="8">
        <v>-90508.885637027444</v>
      </c>
    </row>
    <row r="200" spans="1:3">
      <c r="A200" s="8">
        <v>171</v>
      </c>
      <c r="B200" s="8">
        <v>752530.39343865146</v>
      </c>
      <c r="C200" s="8">
        <v>17172.36656134855</v>
      </c>
    </row>
    <row r="201" spans="1:3">
      <c r="A201" s="8">
        <v>172</v>
      </c>
      <c r="B201" s="8">
        <v>702432.18647039868</v>
      </c>
      <c r="C201" s="8">
        <v>-22700.616470398731</v>
      </c>
    </row>
    <row r="202" spans="1:3">
      <c r="A202" s="8">
        <v>173</v>
      </c>
      <c r="B202" s="8">
        <v>774593.13502454234</v>
      </c>
      <c r="C202" s="8">
        <v>5751.044975457713</v>
      </c>
    </row>
    <row r="203" spans="1:3">
      <c r="A203" s="8">
        <v>174</v>
      </c>
      <c r="B203" s="8">
        <v>754907.2029088916</v>
      </c>
      <c r="C203" s="8">
        <v>-33543.092908891616</v>
      </c>
    </row>
    <row r="204" spans="1:3">
      <c r="A204" s="8">
        <v>175</v>
      </c>
      <c r="B204" s="8">
        <v>786071.114001301</v>
      </c>
      <c r="C204" s="8">
        <v>-27932.824001300964</v>
      </c>
    </row>
    <row r="205" spans="1:3">
      <c r="A205" s="8">
        <v>176</v>
      </c>
      <c r="B205" s="8">
        <v>823882.24828322756</v>
      </c>
      <c r="C205" s="8">
        <v>-19618.248283227556</v>
      </c>
    </row>
    <row r="206" spans="1:3">
      <c r="A206" s="8">
        <v>177</v>
      </c>
      <c r="B206" s="8">
        <v>875732.11239188781</v>
      </c>
      <c r="C206" s="8">
        <v>11805.637608112185</v>
      </c>
    </row>
    <row r="207" spans="1:3">
      <c r="A207" s="8">
        <v>178</v>
      </c>
      <c r="B207" s="8">
        <v>727415.7267768865</v>
      </c>
      <c r="C207" s="8">
        <v>56166.273223113501</v>
      </c>
    </row>
    <row r="208" spans="1:3">
      <c r="A208" s="8">
        <v>179</v>
      </c>
      <c r="B208" s="8">
        <v>760691.42734034953</v>
      </c>
      <c r="C208" s="8">
        <v>21264.092659650487</v>
      </c>
    </row>
    <row r="209" spans="1:3">
      <c r="A209" s="8">
        <v>180</v>
      </c>
      <c r="B209" s="8">
        <v>848927.36516159738</v>
      </c>
      <c r="C209" s="8">
        <v>49103.674838402658</v>
      </c>
    </row>
    <row r="210" spans="1:3">
      <c r="A210" s="8">
        <v>181</v>
      </c>
      <c r="B210" s="8">
        <v>850862.25956982467</v>
      </c>
      <c r="C210" s="8">
        <v>4479.0204301753547</v>
      </c>
    </row>
    <row r="211" spans="1:3">
      <c r="A211" s="8">
        <v>182</v>
      </c>
      <c r="B211" s="8">
        <v>747985.85239711648</v>
      </c>
      <c r="C211" s="8">
        <v>3408.0276028835215</v>
      </c>
    </row>
    <row r="212" spans="1:3">
      <c r="A212" s="8">
        <v>183</v>
      </c>
      <c r="B212" s="8">
        <v>760412.72150477616</v>
      </c>
      <c r="C212" s="8">
        <v>664.35849522380158</v>
      </c>
    </row>
    <row r="213" spans="1:3">
      <c r="A213" s="8">
        <v>184</v>
      </c>
      <c r="B213" s="8">
        <v>817685.04665353394</v>
      </c>
      <c r="C213" s="8">
        <v>1975.5433464660309</v>
      </c>
    </row>
    <row r="214" spans="1:3">
      <c r="A214" s="8">
        <v>185</v>
      </c>
      <c r="B214" s="8">
        <v>703615.69476955698</v>
      </c>
      <c r="C214" s="8">
        <v>-21760.134769556927</v>
      </c>
    </row>
    <row r="215" spans="1:3">
      <c r="A215" s="8">
        <v>186</v>
      </c>
      <c r="B215" s="8">
        <v>663313.19635808771</v>
      </c>
      <c r="C215" s="8">
        <v>14997.973641912336</v>
      </c>
    </row>
    <row r="216" spans="1:3">
      <c r="A216" s="8">
        <v>187</v>
      </c>
      <c r="B216" s="8">
        <v>704053.68889609259</v>
      </c>
      <c r="C216" s="8">
        <v>61853.261103907367</v>
      </c>
    </row>
    <row r="217" spans="1:3">
      <c r="A217" s="8">
        <v>188</v>
      </c>
      <c r="B217" s="8">
        <v>707915.45746945171</v>
      </c>
      <c r="C217" s="8">
        <v>4630.9225305482978</v>
      </c>
    </row>
    <row r="218" spans="1:3">
      <c r="A218" s="8">
        <v>189</v>
      </c>
      <c r="B218" s="8">
        <v>591749.14042572444</v>
      </c>
      <c r="C218" s="8">
        <v>34244.689574275515</v>
      </c>
    </row>
    <row r="219" spans="1:3">
      <c r="A219" s="8">
        <v>190</v>
      </c>
      <c r="B219" s="8">
        <v>544074.80061876716</v>
      </c>
      <c r="C219" s="8">
        <v>6888.129381232895</v>
      </c>
    </row>
    <row r="220" spans="1:3">
      <c r="A220" s="8">
        <v>191</v>
      </c>
      <c r="B220" s="8">
        <v>465699.20090801804</v>
      </c>
      <c r="C220" s="8">
        <v>-22423.610908018018</v>
      </c>
    </row>
    <row r="221" spans="1:3">
      <c r="A221" s="8">
        <v>192</v>
      </c>
      <c r="B221" s="8">
        <v>612517.10764191579</v>
      </c>
      <c r="C221" s="8">
        <v>-58505.037641915842</v>
      </c>
    </row>
    <row r="222" spans="1:3">
      <c r="A222" s="8">
        <v>193</v>
      </c>
      <c r="B222" s="8">
        <v>688114.08081942075</v>
      </c>
      <c r="C222" s="8">
        <v>-44685.230819420773</v>
      </c>
    </row>
    <row r="223" spans="1:3">
      <c r="A223" s="8">
        <v>194</v>
      </c>
      <c r="B223" s="8">
        <v>618539.09403742198</v>
      </c>
      <c r="C223" s="8">
        <v>-6614.8240374219604</v>
      </c>
    </row>
    <row r="224" spans="1:3">
      <c r="A224" s="8">
        <v>195</v>
      </c>
      <c r="B224" s="8">
        <v>559357.50599347171</v>
      </c>
      <c r="C224" s="8">
        <v>64.51400652830489</v>
      </c>
    </row>
    <row r="225" spans="1:3">
      <c r="A225" s="8">
        <v>196</v>
      </c>
      <c r="B225" s="8">
        <v>495405.10777890147</v>
      </c>
      <c r="C225" s="8">
        <v>-45940.047778901469</v>
      </c>
    </row>
    <row r="226" spans="1:3">
      <c r="A226" s="8">
        <v>197</v>
      </c>
      <c r="B226" s="8">
        <v>651718.1926624265</v>
      </c>
      <c r="C226" s="8">
        <v>39729.237337573548</v>
      </c>
    </row>
    <row r="227" spans="1:3">
      <c r="A227" s="8">
        <v>198</v>
      </c>
      <c r="B227" s="8">
        <v>617331.02645203017</v>
      </c>
      <c r="C227" s="8">
        <v>-43264.416452030186</v>
      </c>
    </row>
    <row r="228" spans="1:3">
      <c r="A228" s="8">
        <v>199</v>
      </c>
      <c r="B228" s="8">
        <v>622458.95714249532</v>
      </c>
      <c r="C228" s="8">
        <v>-43509.11714249535</v>
      </c>
    </row>
    <row r="229" spans="1:3">
      <c r="A229" s="8">
        <v>200</v>
      </c>
      <c r="B229" s="8">
        <v>667109.77583155094</v>
      </c>
      <c r="C229" s="8">
        <v>68676.864168449072</v>
      </c>
    </row>
    <row r="230" spans="1:3">
      <c r="A230" s="8">
        <v>201</v>
      </c>
      <c r="B230" s="8">
        <v>639358.41276094958</v>
      </c>
      <c r="C230" s="8">
        <v>-40453.512760949554</v>
      </c>
    </row>
    <row r="231" spans="1:3">
      <c r="A231" s="8">
        <v>202</v>
      </c>
      <c r="B231" s="8">
        <v>722478.85453806596</v>
      </c>
      <c r="C231" s="8">
        <v>65236.655461934046</v>
      </c>
    </row>
    <row r="232" spans="1:3">
      <c r="A232" s="8">
        <v>203</v>
      </c>
      <c r="B232" s="8">
        <v>680579.7565044295</v>
      </c>
      <c r="C232" s="8">
        <v>-73494.836504429462</v>
      </c>
    </row>
    <row r="233" spans="1:3">
      <c r="A233" s="8">
        <v>204</v>
      </c>
      <c r="B233" s="8">
        <v>698730.72405330278</v>
      </c>
      <c r="C233" s="8">
        <v>-47935.234053302789</v>
      </c>
    </row>
    <row r="234" spans="1:3">
      <c r="A234" s="8">
        <v>205</v>
      </c>
      <c r="B234" s="8">
        <v>835660.21419423947</v>
      </c>
      <c r="C234" s="8">
        <v>-10599.694194239448</v>
      </c>
    </row>
    <row r="235" spans="1:3">
      <c r="A235" s="8">
        <v>206</v>
      </c>
      <c r="B235" s="8">
        <v>735868.765992122</v>
      </c>
      <c r="C235" s="8">
        <v>59595.704007877968</v>
      </c>
    </row>
    <row r="236" spans="1:3">
      <c r="A236" s="8">
        <v>207</v>
      </c>
      <c r="B236" s="8">
        <v>730625.02943936735</v>
      </c>
      <c r="C236" s="8">
        <v>-58756.439439367387</v>
      </c>
    </row>
    <row r="237" spans="1:3">
      <c r="A237" s="8">
        <v>208</v>
      </c>
      <c r="B237" s="8">
        <v>751248.67500824796</v>
      </c>
      <c r="C237" s="8">
        <v>-75331.045008247951</v>
      </c>
    </row>
    <row r="238" spans="1:3">
      <c r="A238" s="8">
        <v>209</v>
      </c>
      <c r="B238" s="8">
        <v>800949.15433718066</v>
      </c>
      <c r="C238" s="8">
        <v>9497.375662819366</v>
      </c>
    </row>
    <row r="239" spans="1:3">
      <c r="A239" s="8">
        <v>210</v>
      </c>
      <c r="B239" s="8">
        <v>767334.62564946793</v>
      </c>
      <c r="C239" s="8">
        <v>-76046.435649467981</v>
      </c>
    </row>
    <row r="240" spans="1:3">
      <c r="A240" s="8">
        <v>211</v>
      </c>
      <c r="B240" s="8">
        <v>960661.32299204334</v>
      </c>
      <c r="C240" s="8">
        <v>-13827.7829920433</v>
      </c>
    </row>
    <row r="241" spans="1:3">
      <c r="A241" s="8">
        <v>212</v>
      </c>
      <c r="B241" s="8">
        <v>775876.44627896696</v>
      </c>
      <c r="C241" s="8">
        <v>-13913.216278966982</v>
      </c>
    </row>
    <row r="242" spans="1:3">
      <c r="A242" s="8">
        <v>213</v>
      </c>
      <c r="B242" s="8">
        <v>779678.05819282879</v>
      </c>
      <c r="C242" s="8">
        <v>32474.54180717119</v>
      </c>
    </row>
    <row r="243" spans="1:3">
      <c r="A243" s="8">
        <v>214</v>
      </c>
      <c r="B243" s="8">
        <v>768435.54668637074</v>
      </c>
      <c r="C243" s="8">
        <v>36539.953313629259</v>
      </c>
    </row>
    <row r="244" spans="1:3">
      <c r="A244" s="8">
        <v>215</v>
      </c>
      <c r="B244" s="8">
        <v>764791.48057617072</v>
      </c>
      <c r="C244" s="8">
        <v>-12469.760576170753</v>
      </c>
    </row>
    <row r="245" spans="1:3">
      <c r="A245" s="8">
        <v>216</v>
      </c>
      <c r="B245" s="8">
        <v>835669.89199570485</v>
      </c>
      <c r="C245" s="8">
        <v>1238.3480042951414</v>
      </c>
    </row>
    <row r="246" spans="1:3">
      <c r="A246" s="8">
        <v>217</v>
      </c>
      <c r="B246" s="8">
        <v>659014.13594568847</v>
      </c>
      <c r="C246" s="8">
        <v>15274.964054311509</v>
      </c>
    </row>
    <row r="247" spans="1:3">
      <c r="A247" s="8">
        <v>218</v>
      </c>
      <c r="B247" s="8">
        <v>644597.75422419107</v>
      </c>
      <c r="C247" s="8">
        <v>-21705.334224191029</v>
      </c>
    </row>
    <row r="248" spans="1:3">
      <c r="A248" s="8">
        <v>219</v>
      </c>
      <c r="B248" s="8">
        <v>643206.93829150742</v>
      </c>
      <c r="C248" s="8">
        <v>30141.621708492632</v>
      </c>
    </row>
    <row r="249" spans="1:3">
      <c r="A249" s="8">
        <v>220</v>
      </c>
      <c r="B249" s="8">
        <v>616996.6289922588</v>
      </c>
      <c r="C249" s="8">
        <v>-10718.328992258757</v>
      </c>
    </row>
    <row r="250" spans="1:3">
      <c r="A250" s="8">
        <v>221</v>
      </c>
      <c r="B250" s="8">
        <v>705776.68207184889</v>
      </c>
      <c r="C250" s="8">
        <v>6443.127928151167</v>
      </c>
    </row>
    <row r="251" spans="1:3">
      <c r="A251" s="8">
        <v>222</v>
      </c>
      <c r="B251" s="8">
        <v>672423.93499126285</v>
      </c>
      <c r="C251" s="8">
        <v>246.60500873718411</v>
      </c>
    </row>
    <row r="252" spans="1:3">
      <c r="A252" s="8">
        <v>223</v>
      </c>
      <c r="B252" s="8">
        <v>735839.93601578951</v>
      </c>
      <c r="C252" s="8">
        <v>-3172.0160157894716</v>
      </c>
    </row>
    <row r="253" spans="1:3">
      <c r="A253" s="8">
        <v>224</v>
      </c>
      <c r="B253" s="8">
        <v>758946.79229683429</v>
      </c>
      <c r="C253" s="8">
        <v>-35415.392296834267</v>
      </c>
    </row>
    <row r="254" spans="1:3">
      <c r="A254" s="8">
        <v>225</v>
      </c>
      <c r="B254" s="8">
        <v>604618.97908069461</v>
      </c>
      <c r="C254" s="8">
        <v>36945.620919305366</v>
      </c>
    </row>
    <row r="255" spans="1:3">
      <c r="A255" s="8">
        <v>226</v>
      </c>
      <c r="B255" s="8">
        <v>523780.27532905072</v>
      </c>
      <c r="C255" s="8">
        <v>12765.214670949266</v>
      </c>
    </row>
    <row r="256" spans="1:3">
      <c r="A256" s="8">
        <v>227</v>
      </c>
      <c r="B256" s="8">
        <v>551039.89290141605</v>
      </c>
      <c r="C256" s="8">
        <v>-23358.332901415997</v>
      </c>
    </row>
    <row r="257" spans="1:3">
      <c r="A257" s="8">
        <v>228</v>
      </c>
      <c r="B257" s="8">
        <v>462484.99288862635</v>
      </c>
      <c r="C257" s="8">
        <v>67113.947111373593</v>
      </c>
    </row>
    <row r="258" spans="1:3">
      <c r="A258" s="8">
        <v>229</v>
      </c>
      <c r="B258" s="8">
        <v>627652.08074852172</v>
      </c>
      <c r="C258" s="8">
        <v>-56688.770748521667</v>
      </c>
    </row>
    <row r="259" spans="1:3">
      <c r="A259" s="8">
        <v>230</v>
      </c>
      <c r="B259" s="8">
        <v>823492.96573308855</v>
      </c>
      <c r="C259" s="8">
        <v>47444.43426691147</v>
      </c>
    </row>
    <row r="260" spans="1:3">
      <c r="A260" s="8">
        <v>231</v>
      </c>
      <c r="B260" s="8">
        <v>638925.61951514485</v>
      </c>
      <c r="C260" s="8">
        <v>-41956.34951514483</v>
      </c>
    </row>
    <row r="261" spans="1:3">
      <c r="A261" s="8">
        <v>232</v>
      </c>
      <c r="B261" s="8">
        <v>624446.65278212586</v>
      </c>
      <c r="C261" s="8">
        <v>23066.197217874113</v>
      </c>
    </row>
    <row r="262" spans="1:3">
      <c r="A262" s="8">
        <v>233</v>
      </c>
      <c r="B262" s="8">
        <v>616589.57029691024</v>
      </c>
      <c r="C262" s="8">
        <v>41482.569703089772</v>
      </c>
    </row>
    <row r="263" spans="1:3">
      <c r="A263" s="8">
        <v>234</v>
      </c>
      <c r="B263" s="8">
        <v>647784.00289263437</v>
      </c>
      <c r="C263" s="8">
        <v>75521.10710736562</v>
      </c>
    </row>
    <row r="264" spans="1:3">
      <c r="A264" s="8">
        <v>235</v>
      </c>
      <c r="B264" s="8">
        <v>635650.16440292599</v>
      </c>
      <c r="C264" s="8">
        <v>5016.3655970740365</v>
      </c>
    </row>
    <row r="265" spans="1:3">
      <c r="A265" s="8">
        <v>236</v>
      </c>
      <c r="B265" s="8">
        <v>669740.27097149054</v>
      </c>
      <c r="C265" s="8">
        <v>889.20902850944549</v>
      </c>
    </row>
    <row r="266" spans="1:3">
      <c r="A266" s="8">
        <v>237</v>
      </c>
      <c r="B266" s="8">
        <v>780425.37538301363</v>
      </c>
      <c r="C266" s="8">
        <v>-59346.02538301365</v>
      </c>
    </row>
    <row r="267" spans="1:3">
      <c r="A267" s="8">
        <v>238</v>
      </c>
      <c r="B267" s="8">
        <v>811121.28340060008</v>
      </c>
      <c r="C267" s="8">
        <v>-766.26340060005896</v>
      </c>
    </row>
    <row r="268" spans="1:3">
      <c r="A268" s="8">
        <v>239</v>
      </c>
      <c r="B268" s="8">
        <v>757718.61044430977</v>
      </c>
      <c r="C268" s="8">
        <v>4200.639555690228</v>
      </c>
    </row>
    <row r="269" spans="1:3">
      <c r="A269" s="8">
        <v>240</v>
      </c>
      <c r="B269" s="8">
        <v>714642.19296861417</v>
      </c>
      <c r="C269" s="8">
        <v>22427.987031385885</v>
      </c>
    </row>
    <row r="270" spans="1:3">
      <c r="A270" s="8">
        <v>241</v>
      </c>
      <c r="B270" s="8">
        <v>752722.01077187248</v>
      </c>
      <c r="C270" s="8">
        <v>24270.919228127575</v>
      </c>
    </row>
    <row r="271" spans="1:3">
      <c r="A271" s="8">
        <v>242</v>
      </c>
      <c r="B271" s="8">
        <v>658700.87958421465</v>
      </c>
      <c r="C271" s="8">
        <v>17636.530415785383</v>
      </c>
    </row>
    <row r="272" spans="1:3">
      <c r="A272" s="8">
        <v>243</v>
      </c>
      <c r="B272" s="8">
        <v>825629.09049876605</v>
      </c>
      <c r="C272" s="8">
        <v>2590.579501233995</v>
      </c>
    </row>
    <row r="273" spans="1:3">
      <c r="A273" s="8">
        <v>244</v>
      </c>
      <c r="B273" s="8">
        <v>761187.3347121987</v>
      </c>
      <c r="C273" s="8">
        <v>1972.5852878013393</v>
      </c>
    </row>
    <row r="274" spans="1:3">
      <c r="A274" s="8">
        <v>245</v>
      </c>
      <c r="B274" s="8">
        <v>783879.47214001906</v>
      </c>
      <c r="C274" s="8">
        <v>18122.20785998099</v>
      </c>
    </row>
    <row r="275" spans="1:3">
      <c r="A275" s="8">
        <v>246</v>
      </c>
      <c r="B275" s="8">
        <v>741194.27933994378</v>
      </c>
      <c r="C275" s="8">
        <v>9277.0606600561878</v>
      </c>
    </row>
    <row r="276" spans="1:3">
      <c r="A276" s="8">
        <v>247</v>
      </c>
      <c r="B276" s="8">
        <v>709367.8418663448</v>
      </c>
      <c r="C276" s="8">
        <v>-30136.98186634481</v>
      </c>
    </row>
    <row r="277" spans="1:3">
      <c r="A277" s="8">
        <v>248</v>
      </c>
      <c r="B277" s="8">
        <v>689049.16734081355</v>
      </c>
      <c r="C277" s="8">
        <v>-9160.4273408135632</v>
      </c>
    </row>
    <row r="278" spans="1:3">
      <c r="A278" s="8">
        <v>249</v>
      </c>
      <c r="B278" s="8">
        <v>592885.68062212702</v>
      </c>
      <c r="C278" s="8">
        <v>13897.989377873018</v>
      </c>
    </row>
    <row r="279" spans="1:3">
      <c r="A279" s="8">
        <v>250</v>
      </c>
      <c r="B279" s="8">
        <v>649687.55265496159</v>
      </c>
      <c r="C279" s="8">
        <v>-6936.1326549615478</v>
      </c>
    </row>
    <row r="280" spans="1:3">
      <c r="A280" s="8">
        <v>251</v>
      </c>
      <c r="B280" s="8">
        <v>650810.87400465179</v>
      </c>
      <c r="C280" s="8">
        <v>-2857.0940046517644</v>
      </c>
    </row>
    <row r="281" spans="1:3">
      <c r="A281" s="8">
        <v>252</v>
      </c>
      <c r="B281" s="8">
        <v>711858.57188877102</v>
      </c>
      <c r="C281" s="8">
        <v>17581.878111228929</v>
      </c>
    </row>
    <row r="282" spans="1:3">
      <c r="A282" s="8">
        <v>253</v>
      </c>
      <c r="B282" s="8">
        <v>773394.11105355527</v>
      </c>
      <c r="C282" s="8">
        <v>-8445.1110535552725</v>
      </c>
    </row>
    <row r="283" spans="1:3">
      <c r="A283" s="8">
        <v>254</v>
      </c>
      <c r="B283" s="8">
        <v>719930.19424650294</v>
      </c>
      <c r="C283" s="8">
        <v>79116.745753497002</v>
      </c>
    </row>
    <row r="284" spans="1:3">
      <c r="A284" s="8">
        <v>255</v>
      </c>
      <c r="B284" s="8">
        <v>693080.8114563704</v>
      </c>
      <c r="C284" s="8">
        <v>26998.728543629637</v>
      </c>
    </row>
    <row r="285" spans="1:3">
      <c r="A285" s="8">
        <v>256</v>
      </c>
      <c r="B285" s="8">
        <v>657437.72749719315</v>
      </c>
      <c r="C285" s="8">
        <v>-45047.587497193133</v>
      </c>
    </row>
    <row r="286" spans="1:3">
      <c r="A286" s="8">
        <v>257</v>
      </c>
      <c r="B286" s="8">
        <v>746457.87728507083</v>
      </c>
      <c r="C286" s="8">
        <v>93650.242714929162</v>
      </c>
    </row>
    <row r="287" spans="1:3">
      <c r="A287" s="8">
        <v>258</v>
      </c>
      <c r="B287" s="8">
        <v>670489.10444694944</v>
      </c>
      <c r="C287" s="8">
        <v>27398.98555305053</v>
      </c>
    </row>
    <row r="288" spans="1:3">
      <c r="A288" s="8">
        <v>259</v>
      </c>
      <c r="B288" s="8">
        <v>736923.01456480846</v>
      </c>
      <c r="C288" s="8">
        <v>9192.5754351915093</v>
      </c>
    </row>
    <row r="289" spans="1:3">
      <c r="A289" s="8">
        <v>260</v>
      </c>
      <c r="B289" s="8">
        <v>708587.48723804869</v>
      </c>
      <c r="C289" s="8">
        <v>67522.832761951257</v>
      </c>
    </row>
    <row r="290" spans="1:3">
      <c r="A290" s="8">
        <v>261</v>
      </c>
      <c r="B290" s="8">
        <v>520272.61195414263</v>
      </c>
      <c r="C290" s="8">
        <v>8580.0080458573648</v>
      </c>
    </row>
    <row r="291" spans="1:3">
      <c r="A291" s="8">
        <v>262</v>
      </c>
      <c r="B291" s="8">
        <v>604101.55004713463</v>
      </c>
      <c r="C291" s="8">
        <v>1649.7799528653268</v>
      </c>
    </row>
    <row r="292" spans="1:3">
      <c r="A292" s="8">
        <v>263</v>
      </c>
      <c r="B292" s="8">
        <v>607128.92106682248</v>
      </c>
      <c r="C292" s="8">
        <v>70511.728933177539</v>
      </c>
    </row>
    <row r="293" spans="1:3">
      <c r="A293" s="8">
        <v>264</v>
      </c>
      <c r="B293" s="8">
        <v>611242.3797707234</v>
      </c>
      <c r="C293" s="8">
        <v>25370.850229276577</v>
      </c>
    </row>
    <row r="294" spans="1:3">
      <c r="A294" s="8">
        <v>265</v>
      </c>
      <c r="B294" s="8">
        <v>725982.99985167943</v>
      </c>
      <c r="C294" s="8">
        <v>-16997.809851679485</v>
      </c>
    </row>
    <row r="295" spans="1:3">
      <c r="A295" s="8">
        <v>266</v>
      </c>
      <c r="B295" s="8">
        <v>740770.25322840875</v>
      </c>
      <c r="C295" s="8">
        <v>27022.686771591194</v>
      </c>
    </row>
    <row r="296" spans="1:3">
      <c r="A296" s="8">
        <v>267</v>
      </c>
      <c r="B296" s="8">
        <v>724387.92436807114</v>
      </c>
      <c r="C296" s="8">
        <v>21192.585631928872</v>
      </c>
    </row>
    <row r="297" spans="1:3">
      <c r="A297" s="8">
        <v>268</v>
      </c>
      <c r="B297" s="8">
        <v>725010.65893752524</v>
      </c>
      <c r="C297" s="8">
        <v>37317.651062474819</v>
      </c>
    </row>
    <row r="298" spans="1:3">
      <c r="A298" s="8">
        <v>269</v>
      </c>
      <c r="B298" s="8">
        <v>736412.76177922729</v>
      </c>
      <c r="C298" s="8">
        <v>-75778.771779227303</v>
      </c>
    </row>
    <row r="299" spans="1:3">
      <c r="A299" s="8">
        <v>270</v>
      </c>
      <c r="B299" s="8">
        <v>686518.45624178508</v>
      </c>
      <c r="C299" s="8">
        <v>52856.103758214973</v>
      </c>
    </row>
    <row r="300" spans="1:3">
      <c r="A300" s="8">
        <v>271</v>
      </c>
      <c r="B300" s="8">
        <v>804321.33038971364</v>
      </c>
      <c r="C300" s="8">
        <v>-4564.8703897136729</v>
      </c>
    </row>
    <row r="301" spans="1:3">
      <c r="A301" s="8">
        <v>272</v>
      </c>
      <c r="B301" s="8">
        <v>662237.78457803209</v>
      </c>
      <c r="C301" s="8">
        <v>-68894.784578032093</v>
      </c>
    </row>
    <row r="302" spans="1:3">
      <c r="A302" s="8">
        <v>273</v>
      </c>
      <c r="B302" s="8">
        <v>628251.60671087413</v>
      </c>
      <c r="C302" s="8">
        <v>16788.363289125846</v>
      </c>
    </row>
    <row r="303" spans="1:3">
      <c r="A303" s="8">
        <v>274</v>
      </c>
      <c r="B303" s="8">
        <v>514677.02836105414</v>
      </c>
      <c r="C303" s="8">
        <v>46920.301638945821</v>
      </c>
    </row>
    <row r="304" spans="1:3">
      <c r="A304" s="8">
        <v>275</v>
      </c>
      <c r="B304" s="8">
        <v>637805.62014245195</v>
      </c>
      <c r="C304" s="8">
        <v>-1967.8801424519625</v>
      </c>
    </row>
    <row r="305" spans="1:3">
      <c r="A305" s="8">
        <v>276</v>
      </c>
      <c r="B305" s="8">
        <v>593044.26702517294</v>
      </c>
      <c r="C305" s="8">
        <v>93693.602974827052</v>
      </c>
    </row>
    <row r="306" spans="1:3">
      <c r="A306" s="8">
        <v>277</v>
      </c>
      <c r="B306" s="8">
        <v>744586.47154279496</v>
      </c>
      <c r="C306" s="8">
        <v>-71510.131542794988</v>
      </c>
    </row>
    <row r="307" spans="1:3">
      <c r="A307" s="8">
        <v>278</v>
      </c>
      <c r="B307" s="8">
        <v>706087.6471842624</v>
      </c>
      <c r="C307" s="8">
        <v>32460.77281573764</v>
      </c>
    </row>
    <row r="308" spans="1:3">
      <c r="A308" s="8">
        <v>279</v>
      </c>
      <c r="B308" s="8">
        <v>756900.78712951718</v>
      </c>
      <c r="C308" s="8">
        <v>-281.01712951716036</v>
      </c>
    </row>
    <row r="309" spans="1:3">
      <c r="A309" s="8">
        <v>280</v>
      </c>
      <c r="B309" s="8">
        <v>775162.85391110869</v>
      </c>
      <c r="C309" s="8">
        <v>-14040.433911108645</v>
      </c>
    </row>
    <row r="310" spans="1:3">
      <c r="A310" s="8">
        <v>281</v>
      </c>
      <c r="B310" s="8">
        <v>564548.91304834979</v>
      </c>
      <c r="C310" s="8">
        <v>-39649.343048349838</v>
      </c>
    </row>
    <row r="311" spans="1:3">
      <c r="A311" s="8">
        <v>282</v>
      </c>
      <c r="B311" s="8">
        <v>579114.13175114151</v>
      </c>
      <c r="C311" s="8">
        <v>-23556.361751141492</v>
      </c>
    </row>
    <row r="312" spans="1:3">
      <c r="A312" s="8">
        <v>283</v>
      </c>
      <c r="B312" s="8">
        <v>687158.58807610592</v>
      </c>
      <c r="C312" s="8">
        <v>26925.091923894128</v>
      </c>
    </row>
    <row r="313" spans="1:3">
      <c r="A313" s="8">
        <v>284</v>
      </c>
      <c r="B313" s="8">
        <v>496316.65886914829</v>
      </c>
      <c r="C313" s="8">
        <v>1123.1611308517167</v>
      </c>
    </row>
    <row r="314" spans="1:3">
      <c r="A314" s="8">
        <v>285</v>
      </c>
      <c r="B314" s="8">
        <v>650838.96184476546</v>
      </c>
      <c r="C314" s="8">
        <v>-14063.301844765432</v>
      </c>
    </row>
    <row r="315" spans="1:3">
      <c r="A315" s="8">
        <v>286</v>
      </c>
      <c r="B315" s="8">
        <v>644462.01964743261</v>
      </c>
      <c r="C315" s="8">
        <v>-11452.48964743258</v>
      </c>
    </row>
    <row r="316" spans="1:3">
      <c r="A316" s="8">
        <v>287</v>
      </c>
      <c r="B316" s="8">
        <v>611986.46107527753</v>
      </c>
      <c r="C316" s="8">
        <v>-2037.4610752775334</v>
      </c>
    </row>
    <row r="317" spans="1:3">
      <c r="A317" s="8">
        <v>288</v>
      </c>
      <c r="B317" s="8">
        <v>570029.6319098745</v>
      </c>
      <c r="C317" s="8">
        <v>-21925.931909874547</v>
      </c>
    </row>
    <row r="318" spans="1:3">
      <c r="A318" s="8">
        <v>289</v>
      </c>
      <c r="B318" s="8">
        <v>711595.91973839689</v>
      </c>
      <c r="C318" s="8">
        <v>17828.500261603156</v>
      </c>
    </row>
    <row r="319" spans="1:3">
      <c r="A319" s="8">
        <v>290</v>
      </c>
      <c r="B319" s="8">
        <v>738747.79301939404</v>
      </c>
      <c r="C319" s="8">
        <v>-42486.30301939405</v>
      </c>
    </row>
    <row r="320" spans="1:3">
      <c r="A320" s="8">
        <v>291</v>
      </c>
      <c r="B320" s="8">
        <v>726879.47145357018</v>
      </c>
      <c r="C320" s="8">
        <v>86437.238546429784</v>
      </c>
    </row>
    <row r="321" spans="1:3">
      <c r="A321" s="8">
        <v>292</v>
      </c>
      <c r="B321" s="8">
        <v>722151.65099623357</v>
      </c>
      <c r="C321" s="8">
        <v>-20082.730996233528</v>
      </c>
    </row>
    <row r="322" spans="1:3">
      <c r="A322" s="8">
        <v>293</v>
      </c>
      <c r="B322" s="8">
        <v>584302.07365785819</v>
      </c>
      <c r="C322" s="8">
        <v>-38078.373657858232</v>
      </c>
    </row>
    <row r="323" spans="1:3">
      <c r="A323" s="8">
        <v>294</v>
      </c>
      <c r="B323" s="8">
        <v>523259.03908373637</v>
      </c>
      <c r="C323" s="8">
        <v>9862.2209162636427</v>
      </c>
    </row>
    <row r="324" spans="1:3">
      <c r="A324" s="8">
        <v>295</v>
      </c>
      <c r="B324" s="8">
        <v>503065.44948057696</v>
      </c>
      <c r="C324" s="8">
        <v>-4095.1294805769576</v>
      </c>
    </row>
    <row r="325" spans="1:3">
      <c r="A325" s="8">
        <v>296</v>
      </c>
      <c r="B325" s="8">
        <v>467931.75079274044</v>
      </c>
      <c r="C325" s="8">
        <v>19806.509207259573</v>
      </c>
    </row>
    <row r="326" spans="1:3">
      <c r="A326" s="8">
        <v>297</v>
      </c>
      <c r="B326" s="8">
        <v>663801.21996267245</v>
      </c>
      <c r="C326" s="8">
        <v>4658.1500373275485</v>
      </c>
    </row>
    <row r="327" spans="1:3">
      <c r="A327" s="8">
        <v>298</v>
      </c>
      <c r="B327" s="8">
        <v>673190.95026651083</v>
      </c>
      <c r="C327" s="8">
        <v>89971.499733489123</v>
      </c>
    </row>
    <row r="328" spans="1:3">
      <c r="A328" s="8">
        <v>299</v>
      </c>
      <c r="B328" s="8">
        <v>612630.56703677599</v>
      </c>
      <c r="C328" s="8">
        <v>-13613.23703677603</v>
      </c>
    </row>
    <row r="329" spans="1:3">
      <c r="A329" s="8">
        <v>300</v>
      </c>
      <c r="B329" s="8">
        <v>465155.89440870663</v>
      </c>
      <c r="C329" s="8">
        <v>-63573.314408706618</v>
      </c>
    </row>
    <row r="330" spans="1:3">
      <c r="A330" s="8">
        <v>301</v>
      </c>
      <c r="B330" s="8">
        <v>718685.64427601453</v>
      </c>
      <c r="C330" s="8">
        <v>-14872.654276014538</v>
      </c>
    </row>
    <row r="331" spans="1:3">
      <c r="A331" s="8">
        <v>302</v>
      </c>
      <c r="B331" s="8">
        <v>718961.03124612372</v>
      </c>
      <c r="C331" s="8">
        <v>5385.6987538762623</v>
      </c>
    </row>
    <row r="332" spans="1:3">
      <c r="A332" s="8">
        <v>303</v>
      </c>
      <c r="B332" s="8">
        <v>737780.90257843467</v>
      </c>
      <c r="C332" s="8">
        <v>-6890.8925784346648</v>
      </c>
    </row>
    <row r="333" spans="1:3">
      <c r="A333" s="8">
        <v>304</v>
      </c>
      <c r="B333" s="8">
        <v>721436.29843169509</v>
      </c>
      <c r="C333" s="8">
        <v>59144.651568304864</v>
      </c>
    </row>
    <row r="334" spans="1:3">
      <c r="A334" s="8">
        <v>305</v>
      </c>
      <c r="B334" s="8">
        <v>696220.72180165607</v>
      </c>
      <c r="C334" s="8">
        <v>31736.758198343916</v>
      </c>
    </row>
    <row r="335" spans="1:3">
      <c r="A335" s="8">
        <v>306</v>
      </c>
      <c r="B335" s="8">
        <v>636170.78602047381</v>
      </c>
      <c r="C335" s="8">
        <v>-97794.78602047381</v>
      </c>
    </row>
    <row r="336" spans="1:3">
      <c r="A336" s="8">
        <v>307</v>
      </c>
      <c r="B336" s="8">
        <v>620062.39008329215</v>
      </c>
      <c r="C336" s="8">
        <v>45280.099916707841</v>
      </c>
    </row>
    <row r="337" spans="1:3">
      <c r="A337" s="8">
        <v>308</v>
      </c>
      <c r="B337" s="8">
        <v>706664.88453034009</v>
      </c>
      <c r="C337" s="8">
        <v>-55500.704530340037</v>
      </c>
    </row>
    <row r="338" spans="1:3">
      <c r="A338" s="8">
        <v>309</v>
      </c>
      <c r="B338" s="8">
        <v>641445.12633174926</v>
      </c>
      <c r="C338" s="8">
        <v>-12906.826331749209</v>
      </c>
    </row>
    <row r="339" spans="1:3">
      <c r="A339" s="8">
        <v>310</v>
      </c>
      <c r="B339" s="8">
        <v>575572.16699666774</v>
      </c>
      <c r="C339" s="8">
        <v>-39047.326996667776</v>
      </c>
    </row>
    <row r="340" spans="1:3">
      <c r="A340" s="8">
        <v>311</v>
      </c>
      <c r="B340" s="8">
        <v>634409.27279060939</v>
      </c>
      <c r="C340" s="8">
        <v>-12731.972790609347</v>
      </c>
    </row>
    <row r="341" spans="1:3">
      <c r="A341" s="8">
        <v>312</v>
      </c>
      <c r="B341" s="8">
        <v>705185.38510427019</v>
      </c>
      <c r="C341" s="8">
        <v>65943.684895729763</v>
      </c>
    </row>
    <row r="342" spans="1:3">
      <c r="A342" s="8">
        <v>313</v>
      </c>
      <c r="B342" s="8">
        <v>679247.3531479825</v>
      </c>
      <c r="C342" s="8">
        <v>22805.116852017469</v>
      </c>
    </row>
    <row r="343" spans="1:3">
      <c r="A343" s="8">
        <v>314</v>
      </c>
      <c r="B343" s="8">
        <v>691777.70768722694</v>
      </c>
      <c r="C343" s="8">
        <v>-3409.2476872269763</v>
      </c>
    </row>
    <row r="344" spans="1:3">
      <c r="A344" s="8">
        <v>315</v>
      </c>
      <c r="B344" s="8">
        <v>697468.88768650289</v>
      </c>
      <c r="C344" s="8">
        <v>14906.882313497132</v>
      </c>
    </row>
    <row r="345" spans="1:3">
      <c r="A345" s="8">
        <v>316</v>
      </c>
      <c r="B345" s="8">
        <v>827839.75315566605</v>
      </c>
      <c r="C345" s="8">
        <v>16870.916844333988</v>
      </c>
    </row>
    <row r="346" spans="1:3">
      <c r="A346" s="8">
        <v>317</v>
      </c>
      <c r="B346" s="8">
        <v>687584.25435584469</v>
      </c>
      <c r="C346" s="8">
        <v>-67320.054355844739</v>
      </c>
    </row>
    <row r="347" spans="1:3">
      <c r="A347" s="8">
        <v>318</v>
      </c>
      <c r="B347" s="8">
        <v>534576.71998059994</v>
      </c>
      <c r="C347" s="8">
        <v>2268.7000194001012</v>
      </c>
    </row>
    <row r="348" spans="1:3">
      <c r="A348" s="8">
        <v>319</v>
      </c>
      <c r="B348" s="8">
        <v>744564.27414059523</v>
      </c>
      <c r="C348" s="8">
        <v>-17788.054140595254</v>
      </c>
    </row>
    <row r="349" spans="1:3" ht="15.75" thickBot="1">
      <c r="A349" s="9">
        <v>320</v>
      </c>
      <c r="B349" s="9">
        <v>608589.64465891523</v>
      </c>
      <c r="C349" s="9">
        <v>-48928.804658915265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"/>
  <sheetViews>
    <sheetView workbookViewId="0">
      <selection activeCell="I14" sqref="I14"/>
    </sheetView>
  </sheetViews>
  <sheetFormatPr defaultRowHeight="15"/>
  <cols>
    <col min="1" max="1" width="33.5703125" customWidth="1"/>
    <col min="2" max="2" width="39.85546875" customWidth="1"/>
    <col min="3" max="3" width="38.7109375" customWidth="1"/>
  </cols>
  <sheetData>
    <row r="1" spans="1:7" ht="26.25">
      <c r="A1" s="25"/>
      <c r="B1" s="27" t="s">
        <v>144</v>
      </c>
      <c r="C1" s="28"/>
    </row>
    <row r="2" spans="1:7" ht="12.75" customHeight="1">
      <c r="B2" s="23"/>
    </row>
    <row r="3" spans="1:7" ht="18" customHeight="1">
      <c r="A3" s="24" t="s">
        <v>133</v>
      </c>
      <c r="B3" s="24" t="s">
        <v>134</v>
      </c>
      <c r="C3" s="24" t="s">
        <v>111</v>
      </c>
    </row>
    <row r="4" spans="1:7">
      <c r="A4" s="21">
        <v>713611.16</v>
      </c>
      <c r="B4" s="22">
        <v>596977.45120207872</v>
      </c>
      <c r="C4" s="22">
        <v>116633.70879792131</v>
      </c>
    </row>
    <row r="5" spans="1:7">
      <c r="A5" s="21">
        <v>686737.87</v>
      </c>
      <c r="B5" s="22">
        <v>593044.26702517294</v>
      </c>
      <c r="C5" s="22">
        <v>93693.602974827052</v>
      </c>
    </row>
    <row r="6" spans="1:7">
      <c r="A6" s="21">
        <v>840108.12</v>
      </c>
      <c r="B6" s="22">
        <v>746457.87728507083</v>
      </c>
      <c r="C6" s="22">
        <v>93650.242714929162</v>
      </c>
    </row>
    <row r="7" spans="1:7">
      <c r="A7" s="21">
        <v>914544.17</v>
      </c>
      <c r="B7" s="22">
        <v>823020.3594498646</v>
      </c>
      <c r="C7" s="22">
        <v>91523.810550135444</v>
      </c>
    </row>
    <row r="8" spans="1:7">
      <c r="A8" s="21">
        <v>625514.04</v>
      </c>
      <c r="B8" s="22">
        <v>534617.08104932029</v>
      </c>
      <c r="C8" s="22">
        <v>90896.958950679749</v>
      </c>
    </row>
    <row r="9" spans="1:7">
      <c r="A9" s="21">
        <v>763162.45</v>
      </c>
      <c r="B9" s="22">
        <v>673190.95026651083</v>
      </c>
      <c r="C9" s="22">
        <v>89971.499733489123</v>
      </c>
    </row>
    <row r="10" spans="1:7">
      <c r="A10" s="21">
        <v>727241.86</v>
      </c>
      <c r="B10" s="22">
        <v>638727.32048885489</v>
      </c>
      <c r="C10" s="22">
        <v>88514.539511145093</v>
      </c>
    </row>
    <row r="11" spans="1:7">
      <c r="A11" s="21">
        <v>813316.71</v>
      </c>
      <c r="B11" s="22">
        <v>726879.47145357018</v>
      </c>
      <c r="C11" s="22">
        <v>86437.238546429784</v>
      </c>
    </row>
    <row r="12" spans="1:7">
      <c r="A12" s="21">
        <v>795153.84</v>
      </c>
      <c r="B12" s="22">
        <v>710714.64743270737</v>
      </c>
      <c r="C12" s="22">
        <v>84439.192567292601</v>
      </c>
    </row>
    <row r="13" spans="1:7">
      <c r="A13" s="21">
        <v>778298.88</v>
      </c>
      <c r="B13" s="22">
        <v>695385.86003861425</v>
      </c>
      <c r="C13" s="22">
        <v>82913.019961385755</v>
      </c>
    </row>
    <row r="14" spans="1:7">
      <c r="A14" s="21">
        <v>820519.04</v>
      </c>
      <c r="B14" s="22">
        <v>739184.45897138398</v>
      </c>
      <c r="C14" s="22">
        <v>81334.581028616056</v>
      </c>
    </row>
    <row r="15" spans="1:7">
      <c r="A15" s="21">
        <v>735509.4</v>
      </c>
      <c r="B15" s="22">
        <v>655862.96119999536</v>
      </c>
      <c r="C15" s="22">
        <v>79646.43880000466</v>
      </c>
      <c r="G15" s="26"/>
    </row>
    <row r="16" spans="1:7">
      <c r="A16" s="21">
        <v>799046.94</v>
      </c>
      <c r="B16" s="22">
        <v>719930.19424650294</v>
      </c>
      <c r="C16" s="22">
        <v>79116.745753497002</v>
      </c>
    </row>
    <row r="17" spans="1:3">
      <c r="A17" s="21">
        <v>724216.07</v>
      </c>
      <c r="B17" s="22">
        <v>647238.30989621102</v>
      </c>
      <c r="C17" s="22">
        <v>76977.760103788925</v>
      </c>
    </row>
    <row r="18" spans="1:3">
      <c r="A18" s="21">
        <v>723305.11</v>
      </c>
      <c r="B18" s="22">
        <v>647784.00289263437</v>
      </c>
      <c r="C18" s="22">
        <v>75521.10710736562</v>
      </c>
    </row>
    <row r="19" spans="1:3">
      <c r="A19" s="21">
        <v>657429.18000000005</v>
      </c>
      <c r="B19" s="22">
        <v>586870.83553334116</v>
      </c>
      <c r="C19" s="22">
        <v>70558.344466658891</v>
      </c>
    </row>
    <row r="20" spans="1:3">
      <c r="A20" s="21">
        <v>677640.65</v>
      </c>
      <c r="B20" s="22">
        <v>607128.92106682248</v>
      </c>
      <c r="C20" s="22">
        <v>70511.728933177539</v>
      </c>
    </row>
    <row r="21" spans="1:3">
      <c r="A21" s="21">
        <v>749559.71</v>
      </c>
      <c r="B21" s="22">
        <v>679203.00736743328</v>
      </c>
      <c r="C21" s="22">
        <v>70356.702632566681</v>
      </c>
    </row>
    <row r="22" spans="1:3">
      <c r="A22" s="21">
        <v>661927.14</v>
      </c>
      <c r="B22" s="22">
        <v>592648.99904239469</v>
      </c>
      <c r="C22" s="22">
        <v>69278.140957605327</v>
      </c>
    </row>
    <row r="23" spans="1:3">
      <c r="A23" s="21">
        <v>735786.64</v>
      </c>
      <c r="B23" s="22">
        <v>667109.77583155094</v>
      </c>
      <c r="C23" s="22">
        <v>68676.864168449072</v>
      </c>
    </row>
    <row r="24" spans="1:3">
      <c r="A24" s="21">
        <v>850164.26</v>
      </c>
      <c r="B24" s="22">
        <v>782427.83362687682</v>
      </c>
      <c r="C24" s="22">
        <v>67736.426373123191</v>
      </c>
    </row>
    <row r="25" spans="1:3">
      <c r="A25" s="21">
        <v>776110.32</v>
      </c>
      <c r="B25" s="22">
        <v>708587.48723804869</v>
      </c>
      <c r="C25" s="22">
        <v>67522.832761951257</v>
      </c>
    </row>
    <row r="26" spans="1:3">
      <c r="A26" s="21">
        <v>529598.93999999994</v>
      </c>
      <c r="B26" s="22">
        <v>462484.99288862635</v>
      </c>
      <c r="C26" s="22">
        <v>67113.947111373593</v>
      </c>
    </row>
    <row r="27" spans="1:3">
      <c r="A27" s="21">
        <v>771129.07</v>
      </c>
      <c r="B27" s="22">
        <v>705185.38510427019</v>
      </c>
      <c r="C27" s="22">
        <v>65943.684895729763</v>
      </c>
    </row>
    <row r="28" spans="1:3">
      <c r="A28" s="21">
        <v>788087.68</v>
      </c>
      <c r="B28" s="22">
        <v>722732.59880929813</v>
      </c>
      <c r="C28" s="22">
        <v>65355.081190701923</v>
      </c>
    </row>
    <row r="29" spans="1:3">
      <c r="A29" s="21">
        <v>787715.51</v>
      </c>
      <c r="B29" s="22">
        <v>722478.85453806596</v>
      </c>
      <c r="C29" s="22">
        <v>65236.655461934046</v>
      </c>
    </row>
    <row r="30" spans="1:3">
      <c r="A30" s="21">
        <v>620973.03</v>
      </c>
      <c r="B30" s="22">
        <v>555875.42248760187</v>
      </c>
      <c r="C30" s="22">
        <v>65097.607512398157</v>
      </c>
    </row>
    <row r="31" spans="1:3">
      <c r="A31" s="21">
        <v>758827.64</v>
      </c>
      <c r="B31" s="22">
        <v>693900.61885383155</v>
      </c>
      <c r="C31" s="22">
        <v>64927.021146168467</v>
      </c>
    </row>
    <row r="32" spans="1:3">
      <c r="A32" s="21">
        <v>765906.95</v>
      </c>
      <c r="B32" s="22">
        <v>704053.68889609259</v>
      </c>
      <c r="C32" s="22">
        <v>61853.261103907367</v>
      </c>
    </row>
    <row r="33" spans="1:3">
      <c r="A33" s="21">
        <v>795464.47</v>
      </c>
      <c r="B33" s="22">
        <v>735868.765992122</v>
      </c>
      <c r="C33" s="22">
        <v>59595.704007877968</v>
      </c>
    </row>
    <row r="34" spans="1:3">
      <c r="A34" s="21">
        <v>780580.95</v>
      </c>
      <c r="B34" s="22">
        <v>721436.29843169509</v>
      </c>
      <c r="C34" s="22">
        <v>59144.651568304864</v>
      </c>
    </row>
    <row r="35" spans="1:3">
      <c r="A35" s="21">
        <v>776922.17</v>
      </c>
      <c r="B35" s="22">
        <v>717810.08259880531</v>
      </c>
      <c r="C35" s="22">
        <v>59112.087401194731</v>
      </c>
    </row>
    <row r="36" spans="1:3">
      <c r="A36" s="21">
        <v>930581.7</v>
      </c>
      <c r="B36" s="22">
        <v>871797.28073940729</v>
      </c>
      <c r="C36" s="22">
        <v>58784.419260592666</v>
      </c>
    </row>
    <row r="37" spans="1:3">
      <c r="A37" s="21">
        <v>778397.97</v>
      </c>
      <c r="B37" s="22">
        <v>721332.34757930541</v>
      </c>
      <c r="C37" s="22">
        <v>57065.622420694563</v>
      </c>
    </row>
    <row r="38" spans="1:3">
      <c r="A38" s="21">
        <v>682208.01</v>
      </c>
      <c r="B38" s="22">
        <v>625168.24668584182</v>
      </c>
      <c r="C38" s="22">
        <v>57039.76331415819</v>
      </c>
    </row>
    <row r="39" spans="1:3">
      <c r="A39" s="21">
        <v>783582</v>
      </c>
      <c r="B39" s="22">
        <v>727415.7267768865</v>
      </c>
      <c r="C39" s="22">
        <v>56166.273223113501</v>
      </c>
    </row>
    <row r="40" spans="1:3">
      <c r="A40" s="21">
        <v>820593.93</v>
      </c>
      <c r="B40" s="22">
        <v>765856.92596315569</v>
      </c>
      <c r="C40" s="22">
        <v>54737.004036844359</v>
      </c>
    </row>
    <row r="41" spans="1:3">
      <c r="A41" s="21">
        <v>838250.32</v>
      </c>
      <c r="B41" s="22">
        <v>783582.17449727992</v>
      </c>
      <c r="C41" s="22">
        <v>54668.145502720028</v>
      </c>
    </row>
    <row r="42" spans="1:3">
      <c r="A42" s="21">
        <v>615966.48</v>
      </c>
      <c r="B42" s="22">
        <v>561463.47495238949</v>
      </c>
      <c r="C42" s="22">
        <v>54503.005047610495</v>
      </c>
    </row>
    <row r="43" spans="1:3">
      <c r="A43" s="21">
        <v>761860.19</v>
      </c>
      <c r="B43" s="22">
        <v>707571.94869316276</v>
      </c>
      <c r="C43" s="22">
        <v>54288.241306837182</v>
      </c>
    </row>
    <row r="44" spans="1:3">
      <c r="A44" s="21">
        <v>873380.02</v>
      </c>
      <c r="B44" s="22">
        <v>819541.96413588012</v>
      </c>
      <c r="C44" s="22">
        <v>53838.055864119902</v>
      </c>
    </row>
    <row r="45" spans="1:3">
      <c r="A45" s="21">
        <v>691112.6</v>
      </c>
      <c r="B45" s="22">
        <v>637662.44635084271</v>
      </c>
      <c r="C45" s="22">
        <v>53450.153649157262</v>
      </c>
    </row>
    <row r="46" spans="1:3">
      <c r="A46" s="21">
        <v>739374.56</v>
      </c>
      <c r="B46" s="22">
        <v>686518.45624178508</v>
      </c>
      <c r="C46" s="22">
        <v>52856.103758214973</v>
      </c>
    </row>
    <row r="47" spans="1:3">
      <c r="A47" s="21">
        <v>842157.92</v>
      </c>
      <c r="B47" s="22">
        <v>790828.05444491515</v>
      </c>
      <c r="C47" s="22">
        <v>51329.865555084893</v>
      </c>
    </row>
    <row r="48" spans="1:3">
      <c r="A48" s="21">
        <v>682639.28</v>
      </c>
      <c r="B48" s="22">
        <v>633100.8341523892</v>
      </c>
      <c r="C48" s="22">
        <v>49538.445847610827</v>
      </c>
    </row>
    <row r="49" spans="1:3">
      <c r="A49" s="21">
        <v>753473.55</v>
      </c>
      <c r="B49" s="22">
        <v>704033.97981986217</v>
      </c>
      <c r="C49" s="22">
        <v>49439.570180137875</v>
      </c>
    </row>
    <row r="50" spans="1:3">
      <c r="A50" s="21">
        <v>898031.04</v>
      </c>
      <c r="B50" s="22">
        <v>848927.36516159738</v>
      </c>
      <c r="C50" s="22">
        <v>49103.674838402658</v>
      </c>
    </row>
    <row r="51" spans="1:3">
      <c r="A51" s="21">
        <v>711213.46</v>
      </c>
      <c r="B51" s="22">
        <v>662464.39927570638</v>
      </c>
      <c r="C51" s="22">
        <v>48749.06072429358</v>
      </c>
    </row>
    <row r="52" spans="1:3">
      <c r="A52" s="21">
        <v>727227.2</v>
      </c>
      <c r="B52" s="22">
        <v>679315.43167110707</v>
      </c>
      <c r="C52" s="22">
        <v>47911.768328892882</v>
      </c>
    </row>
    <row r="53" spans="1:3">
      <c r="A53" s="21">
        <v>870937.4</v>
      </c>
      <c r="B53" s="22">
        <v>823492.96573308855</v>
      </c>
      <c r="C53" s="22">
        <v>47444.43426691147</v>
      </c>
    </row>
    <row r="54" spans="1:3">
      <c r="A54" s="21">
        <v>825797.91</v>
      </c>
      <c r="B54" s="22">
        <v>778826.03923055157</v>
      </c>
      <c r="C54" s="22">
        <v>46971.870769448462</v>
      </c>
    </row>
    <row r="55" spans="1:3">
      <c r="A55" s="21">
        <v>561597.32999999996</v>
      </c>
      <c r="B55" s="22">
        <v>514677.02836105414</v>
      </c>
      <c r="C55" s="22">
        <v>46920.301638945821</v>
      </c>
    </row>
    <row r="56" spans="1:3">
      <c r="A56" s="21">
        <v>665342.49</v>
      </c>
      <c r="B56" s="22">
        <v>620062.39008329215</v>
      </c>
      <c r="C56" s="22">
        <v>45280.099916707841</v>
      </c>
    </row>
    <row r="57" spans="1:3">
      <c r="A57" s="21">
        <v>910791.94</v>
      </c>
      <c r="B57" s="22">
        <v>865644.74412152683</v>
      </c>
      <c r="C57" s="22">
        <v>45147.19587847311</v>
      </c>
    </row>
    <row r="58" spans="1:3">
      <c r="A58" s="21">
        <v>696744.15</v>
      </c>
      <c r="B58" s="22">
        <v>652023.02270188276</v>
      </c>
      <c r="C58" s="22">
        <v>44721.127298117266</v>
      </c>
    </row>
    <row r="59" spans="1:3">
      <c r="A59" s="21">
        <v>715890.53</v>
      </c>
      <c r="B59" s="22">
        <v>672381.80420807307</v>
      </c>
      <c r="C59" s="22">
        <v>43508.725791926961</v>
      </c>
    </row>
    <row r="60" spans="1:3">
      <c r="A60" s="21">
        <v>720852.5</v>
      </c>
      <c r="B60" s="22">
        <v>677562.19749381987</v>
      </c>
      <c r="C60" s="22">
        <v>43290.302506180131</v>
      </c>
    </row>
    <row r="61" spans="1:3">
      <c r="A61" s="21">
        <v>635181.35</v>
      </c>
      <c r="B61" s="22">
        <v>592197.95436485764</v>
      </c>
      <c r="C61" s="22">
        <v>42983.39563514234</v>
      </c>
    </row>
    <row r="62" spans="1:3">
      <c r="A62" s="21">
        <v>658072.14</v>
      </c>
      <c r="B62" s="22">
        <v>616589.57029691024</v>
      </c>
      <c r="C62" s="22">
        <v>41482.569703089772</v>
      </c>
    </row>
    <row r="63" spans="1:3">
      <c r="A63" s="21">
        <v>691447.43</v>
      </c>
      <c r="B63" s="22">
        <v>651718.1926624265</v>
      </c>
      <c r="C63" s="22">
        <v>39729.237337573548</v>
      </c>
    </row>
    <row r="64" spans="1:3">
      <c r="A64" s="21">
        <v>586307.22</v>
      </c>
      <c r="B64" s="22">
        <v>546588.34878726024</v>
      </c>
      <c r="C64" s="22">
        <v>39718.87121273973</v>
      </c>
    </row>
    <row r="65" spans="1:3">
      <c r="A65" s="21">
        <v>773815.14</v>
      </c>
      <c r="B65" s="22">
        <v>734803.76621512463</v>
      </c>
      <c r="C65" s="22">
        <v>39011.373784875381</v>
      </c>
    </row>
    <row r="66" spans="1:3">
      <c r="A66" s="21">
        <v>674774.09</v>
      </c>
      <c r="B66" s="22">
        <v>636292.61099624983</v>
      </c>
      <c r="C66" s="22">
        <v>38481.479003750137</v>
      </c>
    </row>
    <row r="67" spans="1:3">
      <c r="A67" s="21">
        <v>709478.39</v>
      </c>
      <c r="B67" s="22">
        <v>671194.8116546165</v>
      </c>
      <c r="C67" s="22">
        <v>38283.578345383517</v>
      </c>
    </row>
    <row r="68" spans="1:3">
      <c r="A68" s="21">
        <v>654317.09</v>
      </c>
      <c r="B68" s="22">
        <v>616434.00980244449</v>
      </c>
      <c r="C68" s="22">
        <v>37883.080197555479</v>
      </c>
    </row>
    <row r="69" spans="1:3">
      <c r="A69" s="21">
        <v>762328.31</v>
      </c>
      <c r="B69" s="22">
        <v>725010.65893752524</v>
      </c>
      <c r="C69" s="22">
        <v>37317.651062474819</v>
      </c>
    </row>
    <row r="70" spans="1:3">
      <c r="A70" s="21">
        <v>641564.6</v>
      </c>
      <c r="B70" s="22">
        <v>604618.97908069461</v>
      </c>
      <c r="C70" s="22">
        <v>36945.620919305366</v>
      </c>
    </row>
    <row r="71" spans="1:3">
      <c r="A71" s="21">
        <v>804975.5</v>
      </c>
      <c r="B71" s="22">
        <v>768435.54668637074</v>
      </c>
      <c r="C71" s="22">
        <v>36539.953313629259</v>
      </c>
    </row>
    <row r="72" spans="1:3">
      <c r="A72" s="21">
        <v>614800.09</v>
      </c>
      <c r="B72" s="22">
        <v>579355.48169349181</v>
      </c>
      <c r="C72" s="22">
        <v>35444.608306508162</v>
      </c>
    </row>
    <row r="73" spans="1:3">
      <c r="A73" s="21">
        <v>625993.82999999996</v>
      </c>
      <c r="B73" s="22">
        <v>591749.14042572444</v>
      </c>
      <c r="C73" s="22">
        <v>34244.689574275515</v>
      </c>
    </row>
    <row r="74" spans="1:3">
      <c r="A74" s="21">
        <v>922168.6</v>
      </c>
      <c r="B74" s="22">
        <v>889335.53474830999</v>
      </c>
      <c r="C74" s="22">
        <v>32833.065251689986</v>
      </c>
    </row>
    <row r="75" spans="1:3">
      <c r="A75" s="21">
        <v>812152.6</v>
      </c>
      <c r="B75" s="22">
        <v>779678.05819282879</v>
      </c>
      <c r="C75" s="22">
        <v>32474.54180717119</v>
      </c>
    </row>
    <row r="76" spans="1:3">
      <c r="A76" s="21">
        <v>738548.42</v>
      </c>
      <c r="B76" s="22">
        <v>706087.6471842624</v>
      </c>
      <c r="C76" s="22">
        <v>32460.77281573764</v>
      </c>
    </row>
    <row r="77" spans="1:3">
      <c r="A77" s="21">
        <v>727957.48</v>
      </c>
      <c r="B77" s="22">
        <v>696220.72180165607</v>
      </c>
      <c r="C77" s="22">
        <v>31736.758198343916</v>
      </c>
    </row>
    <row r="78" spans="1:3">
      <c r="A78" s="21">
        <v>743348.84</v>
      </c>
      <c r="B78" s="22">
        <v>712955.8959338729</v>
      </c>
      <c r="C78" s="22">
        <v>30392.944066127064</v>
      </c>
    </row>
    <row r="79" spans="1:3">
      <c r="A79" s="21">
        <v>673348.56</v>
      </c>
      <c r="B79" s="22">
        <v>643206.93829150742</v>
      </c>
      <c r="C79" s="22">
        <v>30141.621708492632</v>
      </c>
    </row>
    <row r="80" spans="1:3">
      <c r="A80" s="21">
        <v>739852.58</v>
      </c>
      <c r="B80" s="22">
        <v>710246.86086670309</v>
      </c>
      <c r="C80" s="22">
        <v>29605.719133296865</v>
      </c>
    </row>
    <row r="81" spans="1:3">
      <c r="A81" s="21">
        <v>725847.99</v>
      </c>
      <c r="B81" s="22">
        <v>696244.24518442852</v>
      </c>
      <c r="C81" s="22">
        <v>29603.744815571466</v>
      </c>
    </row>
    <row r="82" spans="1:3">
      <c r="A82" s="21">
        <v>740102.64</v>
      </c>
      <c r="B82" s="22">
        <v>710936.12866608601</v>
      </c>
      <c r="C82" s="22">
        <v>29166.511333914008</v>
      </c>
    </row>
    <row r="83" spans="1:3">
      <c r="A83" s="21">
        <v>746677.75</v>
      </c>
      <c r="B83" s="22">
        <v>718981.99162359198</v>
      </c>
      <c r="C83" s="22">
        <v>27695.758376408019</v>
      </c>
    </row>
    <row r="84" spans="1:3">
      <c r="A84" s="21">
        <v>697888.09</v>
      </c>
      <c r="B84" s="22">
        <v>670489.10444694944</v>
      </c>
      <c r="C84" s="22">
        <v>27398.98555305053</v>
      </c>
    </row>
    <row r="85" spans="1:3">
      <c r="A85" s="21">
        <v>767792.94</v>
      </c>
      <c r="B85" s="22">
        <v>740770.25322840875</v>
      </c>
      <c r="C85" s="22">
        <v>27022.686771591194</v>
      </c>
    </row>
    <row r="86" spans="1:3">
      <c r="A86" s="21">
        <v>720079.54</v>
      </c>
      <c r="B86" s="22">
        <v>693080.8114563704</v>
      </c>
      <c r="C86" s="22">
        <v>26998.728543629637</v>
      </c>
    </row>
    <row r="87" spans="1:3">
      <c r="A87" s="21">
        <v>714083.68</v>
      </c>
      <c r="B87" s="22">
        <v>687158.58807610592</v>
      </c>
      <c r="C87" s="22">
        <v>26925.091923894128</v>
      </c>
    </row>
    <row r="88" spans="1:3">
      <c r="A88" s="21">
        <v>675177.68</v>
      </c>
      <c r="B88" s="22">
        <v>648311.90151792637</v>
      </c>
      <c r="C88" s="22">
        <v>26865.778482073685</v>
      </c>
    </row>
    <row r="89" spans="1:3">
      <c r="A89" s="21">
        <v>636613.23</v>
      </c>
      <c r="B89" s="22">
        <v>611242.3797707234</v>
      </c>
      <c r="C89" s="22">
        <v>25370.850229276577</v>
      </c>
    </row>
    <row r="90" spans="1:3">
      <c r="A90" s="21">
        <v>569100.78</v>
      </c>
      <c r="B90" s="22">
        <v>543795.58312476892</v>
      </c>
      <c r="C90" s="22">
        <v>25305.196875231108</v>
      </c>
    </row>
    <row r="91" spans="1:3">
      <c r="A91" s="21">
        <v>776992.93</v>
      </c>
      <c r="B91" s="22">
        <v>752722.01077187248</v>
      </c>
      <c r="C91" s="22">
        <v>24270.919228127575</v>
      </c>
    </row>
    <row r="92" spans="1:3">
      <c r="A92" s="21">
        <v>647512.85</v>
      </c>
      <c r="B92" s="22">
        <v>624446.65278212586</v>
      </c>
      <c r="C92" s="22">
        <v>23066.197217874113</v>
      </c>
    </row>
    <row r="93" spans="1:3">
      <c r="A93" s="21">
        <v>715097.57</v>
      </c>
      <c r="B93" s="22">
        <v>692048.86474350141</v>
      </c>
      <c r="C93" s="22">
        <v>23048.705256498535</v>
      </c>
    </row>
    <row r="94" spans="1:3">
      <c r="A94" s="21">
        <v>702052.47</v>
      </c>
      <c r="B94" s="22">
        <v>679247.3531479825</v>
      </c>
      <c r="C94" s="22">
        <v>22805.116852017469</v>
      </c>
    </row>
    <row r="95" spans="1:3">
      <c r="A95" s="21">
        <v>737070.18</v>
      </c>
      <c r="B95" s="22">
        <v>714642.19296861417</v>
      </c>
      <c r="C95" s="22">
        <v>22427.987031385885</v>
      </c>
    </row>
    <row r="96" spans="1:3">
      <c r="A96" s="21">
        <v>695098.51</v>
      </c>
      <c r="B96" s="22">
        <v>672998.55319539108</v>
      </c>
      <c r="C96" s="22">
        <v>22099.956804608926</v>
      </c>
    </row>
    <row r="97" spans="1:3">
      <c r="A97" s="21">
        <v>781955.52</v>
      </c>
      <c r="B97" s="22">
        <v>760691.42734034953</v>
      </c>
      <c r="C97" s="22">
        <v>21264.092659650487</v>
      </c>
    </row>
    <row r="98" spans="1:3">
      <c r="A98" s="21">
        <v>745580.51</v>
      </c>
      <c r="B98" s="22">
        <v>724387.92436807114</v>
      </c>
      <c r="C98" s="22">
        <v>21192.585631928872</v>
      </c>
    </row>
    <row r="99" spans="1:3">
      <c r="A99" s="21">
        <v>625672.86</v>
      </c>
      <c r="B99" s="22">
        <v>604990.40323585656</v>
      </c>
      <c r="C99" s="22">
        <v>20682.456764143426</v>
      </c>
    </row>
    <row r="100" spans="1:3">
      <c r="A100" s="21">
        <v>487738.26</v>
      </c>
      <c r="B100" s="22">
        <v>467931.75079274044</v>
      </c>
      <c r="C100" s="22">
        <v>19806.509207259573</v>
      </c>
    </row>
    <row r="101" spans="1:3">
      <c r="A101" s="21">
        <v>701641.97</v>
      </c>
      <c r="B101" s="22">
        <v>682415.92929164181</v>
      </c>
      <c r="C101" s="22">
        <v>19226.040708358167</v>
      </c>
    </row>
    <row r="102" spans="1:3">
      <c r="A102" s="21">
        <v>802001.68</v>
      </c>
      <c r="B102" s="22">
        <v>783879.47214001906</v>
      </c>
      <c r="C102" s="22">
        <v>18122.20785998099</v>
      </c>
    </row>
    <row r="103" spans="1:3">
      <c r="A103" s="21">
        <v>729424.42</v>
      </c>
      <c r="B103" s="22">
        <v>711595.91973839689</v>
      </c>
      <c r="C103" s="22">
        <v>17828.500261603156</v>
      </c>
    </row>
    <row r="104" spans="1:3">
      <c r="A104" s="21">
        <v>676337.41</v>
      </c>
      <c r="B104" s="22">
        <v>658700.87958421465</v>
      </c>
      <c r="C104" s="22">
        <v>17636.530415785383</v>
      </c>
    </row>
    <row r="105" spans="1:3">
      <c r="A105" s="21">
        <v>729440.45</v>
      </c>
      <c r="B105" s="22">
        <v>711858.57188877102</v>
      </c>
      <c r="C105" s="22">
        <v>17581.878111228929</v>
      </c>
    </row>
    <row r="106" spans="1:3">
      <c r="A106" s="21">
        <v>769702.76</v>
      </c>
      <c r="B106" s="22">
        <v>752530.39343865146</v>
      </c>
      <c r="C106" s="22">
        <v>17172.36656134855</v>
      </c>
    </row>
    <row r="107" spans="1:3">
      <c r="A107" s="21">
        <v>646559.71</v>
      </c>
      <c r="B107" s="22">
        <v>629605.52697599446</v>
      </c>
      <c r="C107" s="22">
        <v>16954.183024005499</v>
      </c>
    </row>
    <row r="108" spans="1:3">
      <c r="A108" s="21">
        <v>844710.67</v>
      </c>
      <c r="B108" s="22">
        <v>827839.75315566605</v>
      </c>
      <c r="C108" s="22">
        <v>16870.916844333988</v>
      </c>
    </row>
    <row r="109" spans="1:3">
      <c r="A109" s="21">
        <v>645039.97</v>
      </c>
      <c r="B109" s="22">
        <v>628251.60671087413</v>
      </c>
      <c r="C109" s="22">
        <v>16788.363289125846</v>
      </c>
    </row>
    <row r="110" spans="1:3">
      <c r="A110" s="21">
        <v>849018.3</v>
      </c>
      <c r="B110" s="22">
        <v>832368.46205762168</v>
      </c>
      <c r="C110" s="22">
        <v>16649.837942378363</v>
      </c>
    </row>
    <row r="111" spans="1:3">
      <c r="A111" s="21">
        <v>740496.65</v>
      </c>
      <c r="B111" s="22">
        <v>724974.41820527276</v>
      </c>
      <c r="C111" s="22">
        <v>15522.231794727268</v>
      </c>
    </row>
    <row r="112" spans="1:3">
      <c r="A112" s="21">
        <v>712868.35</v>
      </c>
      <c r="B112" s="22">
        <v>697359.19603262679</v>
      </c>
      <c r="C112" s="22">
        <v>15509.15396737319</v>
      </c>
    </row>
    <row r="113" spans="1:3">
      <c r="A113" s="21">
        <v>674289.1</v>
      </c>
      <c r="B113" s="22">
        <v>659014.13594568847</v>
      </c>
      <c r="C113" s="22">
        <v>15274.964054311509</v>
      </c>
    </row>
    <row r="114" spans="1:3">
      <c r="A114" s="21">
        <v>678311.17</v>
      </c>
      <c r="B114" s="22">
        <v>663313.19635808771</v>
      </c>
      <c r="C114" s="22">
        <v>14997.973641912336</v>
      </c>
    </row>
    <row r="115" spans="1:3">
      <c r="A115" s="21">
        <v>712375.77</v>
      </c>
      <c r="B115" s="22">
        <v>697468.88768650289</v>
      </c>
      <c r="C115" s="22">
        <v>14906.882313497132</v>
      </c>
    </row>
    <row r="116" spans="1:3">
      <c r="A116" s="21">
        <v>834017.02</v>
      </c>
      <c r="B116" s="22">
        <v>819755.36087232875</v>
      </c>
      <c r="C116" s="22">
        <v>14261.659127671272</v>
      </c>
    </row>
    <row r="117" spans="1:3">
      <c r="A117" s="21">
        <v>585365.73</v>
      </c>
      <c r="B117" s="22">
        <v>571196.63861181273</v>
      </c>
      <c r="C117" s="22">
        <v>14169.091388187255</v>
      </c>
    </row>
    <row r="118" spans="1:3">
      <c r="A118" s="21">
        <v>606783.67000000004</v>
      </c>
      <c r="B118" s="22">
        <v>592885.68062212702</v>
      </c>
      <c r="C118" s="22">
        <v>13897.989377873018</v>
      </c>
    </row>
    <row r="119" spans="1:3">
      <c r="A119" s="21">
        <v>820729.29</v>
      </c>
      <c r="B119" s="22">
        <v>807042.56768210162</v>
      </c>
      <c r="C119" s="22">
        <v>13686.722317898413</v>
      </c>
    </row>
    <row r="120" spans="1:3">
      <c r="A120" s="21">
        <v>536545.49</v>
      </c>
      <c r="B120" s="22">
        <v>523780.27532905072</v>
      </c>
      <c r="C120" s="22">
        <v>12765.214670949266</v>
      </c>
    </row>
    <row r="121" spans="1:3">
      <c r="A121" s="21">
        <v>555929.4</v>
      </c>
      <c r="B121" s="22">
        <v>543816.80976854498</v>
      </c>
      <c r="C121" s="22">
        <v>12112.590231455048</v>
      </c>
    </row>
    <row r="122" spans="1:3">
      <c r="A122" s="21">
        <v>887537.75</v>
      </c>
      <c r="B122" s="22">
        <v>875732.11239188781</v>
      </c>
      <c r="C122" s="22">
        <v>11805.637608112185</v>
      </c>
    </row>
    <row r="123" spans="1:3">
      <c r="A123" s="21">
        <v>605178</v>
      </c>
      <c r="B123" s="22">
        <v>593442.10426366376</v>
      </c>
      <c r="C123" s="22">
        <v>11735.895736336242</v>
      </c>
    </row>
    <row r="124" spans="1:3">
      <c r="A124" s="21">
        <v>664162.49</v>
      </c>
      <c r="B124" s="22">
        <v>652619.49453898007</v>
      </c>
      <c r="C124" s="22">
        <v>11542.99546101992</v>
      </c>
    </row>
    <row r="125" spans="1:3">
      <c r="A125" s="21">
        <v>611766.72</v>
      </c>
      <c r="B125" s="22">
        <v>600442.42683547107</v>
      </c>
      <c r="C125" s="22">
        <v>11324.293164528906</v>
      </c>
    </row>
    <row r="126" spans="1:3">
      <c r="A126" s="21">
        <v>806615.54</v>
      </c>
      <c r="B126" s="22">
        <v>795555.628421681</v>
      </c>
      <c r="C126" s="22">
        <v>11059.911578319035</v>
      </c>
    </row>
    <row r="127" spans="1:3">
      <c r="A127" s="21">
        <v>532644.46</v>
      </c>
      <c r="B127" s="22">
        <v>521892.83070950414</v>
      </c>
      <c r="C127" s="22">
        <v>10751.629290495825</v>
      </c>
    </row>
    <row r="128" spans="1:3">
      <c r="A128" s="21">
        <v>574436.29</v>
      </c>
      <c r="B128" s="22">
        <v>563978.94567691791</v>
      </c>
      <c r="C128" s="22">
        <v>10457.344323082129</v>
      </c>
    </row>
    <row r="129" spans="1:3">
      <c r="A129" s="21">
        <v>665594.93999999994</v>
      </c>
      <c r="B129" s="22">
        <v>655333.99933975644</v>
      </c>
      <c r="C129" s="22">
        <v>10260.940660243505</v>
      </c>
    </row>
    <row r="130" spans="1:3">
      <c r="A130" s="21">
        <v>603297.56999999995</v>
      </c>
      <c r="B130" s="22">
        <v>593285.7465405995</v>
      </c>
      <c r="C130" s="22">
        <v>10011.823459400446</v>
      </c>
    </row>
    <row r="131" spans="1:3">
      <c r="A131" s="21">
        <v>533121.26</v>
      </c>
      <c r="B131" s="22">
        <v>523259.03908373637</v>
      </c>
      <c r="C131" s="22">
        <v>9862.2209162636427</v>
      </c>
    </row>
    <row r="132" spans="1:3">
      <c r="A132" s="21">
        <v>810446.53</v>
      </c>
      <c r="B132" s="22">
        <v>800949.15433718066</v>
      </c>
      <c r="C132" s="22">
        <v>9497.375662819366</v>
      </c>
    </row>
    <row r="133" spans="1:3">
      <c r="A133" s="21">
        <v>750471.34</v>
      </c>
      <c r="B133" s="22">
        <v>741194.27933994378</v>
      </c>
      <c r="C133" s="22">
        <v>9277.0606600561878</v>
      </c>
    </row>
    <row r="134" spans="1:3">
      <c r="A134" s="21">
        <v>746115.59</v>
      </c>
      <c r="B134" s="22">
        <v>736923.01456480846</v>
      </c>
      <c r="C134" s="22">
        <v>9192.5754351915093</v>
      </c>
    </row>
    <row r="135" spans="1:3">
      <c r="A135" s="21">
        <v>605023.87</v>
      </c>
      <c r="B135" s="22">
        <v>595901.53874808981</v>
      </c>
      <c r="C135" s="22">
        <v>9122.3312519101892</v>
      </c>
    </row>
    <row r="136" spans="1:3">
      <c r="A136" s="21">
        <v>783797.89</v>
      </c>
      <c r="B136" s="22">
        <v>774837.95896007773</v>
      </c>
      <c r="C136" s="22">
        <v>8959.9310399222886</v>
      </c>
    </row>
    <row r="137" spans="1:3">
      <c r="A137" s="21">
        <v>528852.62</v>
      </c>
      <c r="B137" s="22">
        <v>520272.61195414263</v>
      </c>
      <c r="C137" s="22">
        <v>8580.0080458573648</v>
      </c>
    </row>
    <row r="138" spans="1:3">
      <c r="A138" s="21">
        <v>828623.85</v>
      </c>
      <c r="B138" s="22">
        <v>820178.53463580471</v>
      </c>
      <c r="C138" s="22">
        <v>8445.3153641952667</v>
      </c>
    </row>
    <row r="139" spans="1:3">
      <c r="A139" s="21">
        <v>550962.93000000005</v>
      </c>
      <c r="B139" s="22">
        <v>544074.80061876716</v>
      </c>
      <c r="C139" s="22">
        <v>6888.129381232895</v>
      </c>
    </row>
    <row r="140" spans="1:3">
      <c r="A140" s="21">
        <v>712219.81</v>
      </c>
      <c r="B140" s="22">
        <v>705776.68207184889</v>
      </c>
      <c r="C140" s="22">
        <v>6443.127928151167</v>
      </c>
    </row>
    <row r="141" spans="1:3">
      <c r="A141" s="21">
        <v>780344.18</v>
      </c>
      <c r="B141" s="22">
        <v>774593.13502454234</v>
      </c>
      <c r="C141" s="22">
        <v>5751.044975457713</v>
      </c>
    </row>
    <row r="142" spans="1:3">
      <c r="A142" s="21">
        <v>724346.73</v>
      </c>
      <c r="B142" s="22">
        <v>718961.03124612372</v>
      </c>
      <c r="C142" s="22">
        <v>5385.6987538762623</v>
      </c>
    </row>
    <row r="143" spans="1:3">
      <c r="A143" s="21">
        <v>640666.53</v>
      </c>
      <c r="B143" s="22">
        <v>635650.16440292599</v>
      </c>
      <c r="C143" s="22">
        <v>5016.3655970740365</v>
      </c>
    </row>
    <row r="144" spans="1:3">
      <c r="A144" s="21">
        <v>668459.37</v>
      </c>
      <c r="B144" s="22">
        <v>663801.21996267245</v>
      </c>
      <c r="C144" s="22">
        <v>4658.1500373275485</v>
      </c>
    </row>
    <row r="145" spans="1:3">
      <c r="A145" s="21">
        <v>712546.38</v>
      </c>
      <c r="B145" s="22">
        <v>707915.45746945171</v>
      </c>
      <c r="C145" s="22">
        <v>4630.9225305482978</v>
      </c>
    </row>
    <row r="146" spans="1:3">
      <c r="A146" s="21">
        <v>855341.28</v>
      </c>
      <c r="B146" s="22">
        <v>850862.25956982467</v>
      </c>
      <c r="C146" s="22">
        <v>4479.0204301753547</v>
      </c>
    </row>
    <row r="147" spans="1:3">
      <c r="A147" s="21">
        <v>698492.67</v>
      </c>
      <c r="B147" s="22">
        <v>694166.42112842051</v>
      </c>
      <c r="C147" s="22">
        <v>4326.2488715795334</v>
      </c>
    </row>
    <row r="148" spans="1:3">
      <c r="A148" s="21">
        <v>761919.25</v>
      </c>
      <c r="B148" s="22">
        <v>757718.61044430977</v>
      </c>
      <c r="C148" s="22">
        <v>4200.639555690228</v>
      </c>
    </row>
    <row r="149" spans="1:3">
      <c r="A149" s="21">
        <v>751393.88</v>
      </c>
      <c r="B149" s="22">
        <v>747985.85239711648</v>
      </c>
      <c r="C149" s="22">
        <v>3408.0276028835215</v>
      </c>
    </row>
    <row r="150" spans="1:3">
      <c r="A150" s="21">
        <v>592195.85</v>
      </c>
      <c r="B150" s="22">
        <v>588979.17184134375</v>
      </c>
      <c r="C150" s="22">
        <v>3216.6781586562283</v>
      </c>
    </row>
    <row r="151" spans="1:3">
      <c r="A151" s="21">
        <v>828219.67</v>
      </c>
      <c r="B151" s="22">
        <v>825629.09049876605</v>
      </c>
      <c r="C151" s="22">
        <v>2590.579501233995</v>
      </c>
    </row>
    <row r="152" spans="1:3">
      <c r="A152" s="21">
        <v>536845.42000000004</v>
      </c>
      <c r="B152" s="22">
        <v>534576.71998059994</v>
      </c>
      <c r="C152" s="22">
        <v>2268.7000194001012</v>
      </c>
    </row>
    <row r="153" spans="1:3">
      <c r="A153" s="21">
        <v>819660.59</v>
      </c>
      <c r="B153" s="22">
        <v>817685.04665353394</v>
      </c>
      <c r="C153" s="22">
        <v>1975.5433464660309</v>
      </c>
    </row>
    <row r="154" spans="1:3">
      <c r="A154" s="21">
        <v>763159.92</v>
      </c>
      <c r="B154" s="22">
        <v>761187.3347121987</v>
      </c>
      <c r="C154" s="22">
        <v>1972.5852878013393</v>
      </c>
    </row>
    <row r="155" spans="1:3">
      <c r="A155" s="21">
        <v>783672.82</v>
      </c>
      <c r="B155" s="22">
        <v>781929.85509085527</v>
      </c>
      <c r="C155" s="22">
        <v>1742.9649091446772</v>
      </c>
    </row>
    <row r="156" spans="1:3">
      <c r="A156" s="21">
        <v>605751.32999999996</v>
      </c>
      <c r="B156" s="22">
        <v>604101.55004713463</v>
      </c>
      <c r="C156" s="22">
        <v>1649.7799528653268</v>
      </c>
    </row>
    <row r="157" spans="1:3">
      <c r="A157" s="21">
        <v>836908.24</v>
      </c>
      <c r="B157" s="22">
        <v>835669.89199570485</v>
      </c>
      <c r="C157" s="22">
        <v>1238.3480042951414</v>
      </c>
    </row>
    <row r="158" spans="1:3">
      <c r="A158" s="21">
        <v>605775.32999999996</v>
      </c>
      <c r="B158" s="22">
        <v>604546.90715122886</v>
      </c>
      <c r="C158" s="22">
        <v>1228.4228487710934</v>
      </c>
    </row>
    <row r="159" spans="1:3">
      <c r="A159" s="21">
        <v>497439.82</v>
      </c>
      <c r="B159" s="22">
        <v>496316.65886914829</v>
      </c>
      <c r="C159" s="22">
        <v>1123.1611308517167</v>
      </c>
    </row>
    <row r="160" spans="1:3">
      <c r="A160" s="21">
        <v>670629.48</v>
      </c>
      <c r="B160" s="22">
        <v>669740.27097149054</v>
      </c>
      <c r="C160" s="22">
        <v>889.20902850944549</v>
      </c>
    </row>
    <row r="161" spans="1:3">
      <c r="A161" s="21">
        <v>537383.79</v>
      </c>
      <c r="B161" s="22">
        <v>536554.46867232083</v>
      </c>
      <c r="C161" s="22">
        <v>829.32132767920848</v>
      </c>
    </row>
    <row r="162" spans="1:3">
      <c r="A162" s="21">
        <v>761077.08</v>
      </c>
      <c r="B162" s="22">
        <v>760412.72150477616</v>
      </c>
      <c r="C162" s="22">
        <v>664.35849522380158</v>
      </c>
    </row>
    <row r="163" spans="1:3">
      <c r="A163" s="21">
        <v>672670.54</v>
      </c>
      <c r="B163" s="22">
        <v>672423.93499126285</v>
      </c>
      <c r="C163" s="22">
        <v>246.60500873718411</v>
      </c>
    </row>
    <row r="164" spans="1:3">
      <c r="A164" s="21">
        <v>559422.02</v>
      </c>
      <c r="B164" s="22">
        <v>559357.50599347171</v>
      </c>
      <c r="C164" s="22">
        <v>64.51400652830489</v>
      </c>
    </row>
    <row r="165" spans="1:3">
      <c r="A165" s="21">
        <v>643657.47</v>
      </c>
      <c r="B165" s="22">
        <v>643804.08706844575</v>
      </c>
      <c r="C165" s="22">
        <v>-146.61706844577566</v>
      </c>
    </row>
    <row r="166" spans="1:3">
      <c r="A166" s="21">
        <v>756619.77</v>
      </c>
      <c r="B166" s="22">
        <v>756900.78712951718</v>
      </c>
      <c r="C166" s="22">
        <v>-281.01712951716036</v>
      </c>
    </row>
    <row r="167" spans="1:3">
      <c r="A167" s="21">
        <v>810355.02</v>
      </c>
      <c r="B167" s="22">
        <v>811121.28340060008</v>
      </c>
      <c r="C167" s="22">
        <v>-766.26340060005896</v>
      </c>
    </row>
    <row r="168" spans="1:3">
      <c r="A168" s="21">
        <v>691113.62</v>
      </c>
      <c r="B168" s="22">
        <v>692855.44368866994</v>
      </c>
      <c r="C168" s="22">
        <v>-1741.8236886699451</v>
      </c>
    </row>
    <row r="169" spans="1:3">
      <c r="A169" s="21">
        <v>665534.69999999995</v>
      </c>
      <c r="B169" s="22">
        <v>667450.6026838593</v>
      </c>
      <c r="C169" s="22">
        <v>-1915.9026838593418</v>
      </c>
    </row>
    <row r="170" spans="1:3">
      <c r="A170" s="21">
        <v>635837.74</v>
      </c>
      <c r="B170" s="22">
        <v>637805.62014245195</v>
      </c>
      <c r="C170" s="22">
        <v>-1967.8801424519625</v>
      </c>
    </row>
    <row r="171" spans="1:3">
      <c r="A171" s="21">
        <v>700078.32</v>
      </c>
      <c r="B171" s="22">
        <v>702059.01178529393</v>
      </c>
      <c r="C171" s="22">
        <v>-1980.6917852939805</v>
      </c>
    </row>
    <row r="172" spans="1:3">
      <c r="A172" s="21">
        <v>609949</v>
      </c>
      <c r="B172" s="22">
        <v>611986.46107527753</v>
      </c>
      <c r="C172" s="22">
        <v>-2037.4610752775334</v>
      </c>
    </row>
    <row r="173" spans="1:3">
      <c r="A173" s="21">
        <v>647953.78</v>
      </c>
      <c r="B173" s="22">
        <v>650810.87400465179</v>
      </c>
      <c r="C173" s="22">
        <v>-2857.0940046517644</v>
      </c>
    </row>
    <row r="174" spans="1:3">
      <c r="A174" s="21">
        <v>614596.31999999995</v>
      </c>
      <c r="B174" s="22">
        <v>617625.5742735354</v>
      </c>
      <c r="C174" s="22">
        <v>-3029.2542735354509</v>
      </c>
    </row>
    <row r="175" spans="1:3">
      <c r="A175" s="21">
        <v>732667.92</v>
      </c>
      <c r="B175" s="22">
        <v>735839.93601578951</v>
      </c>
      <c r="C175" s="22">
        <v>-3172.0160157894716</v>
      </c>
    </row>
    <row r="176" spans="1:3">
      <c r="A176" s="21">
        <v>570964.84</v>
      </c>
      <c r="B176" s="22">
        <v>574233.40471769474</v>
      </c>
      <c r="C176" s="22">
        <v>-3268.5647176947678</v>
      </c>
    </row>
    <row r="177" spans="1:3">
      <c r="A177" s="21">
        <v>688368.46</v>
      </c>
      <c r="B177" s="22">
        <v>691777.70768722694</v>
      </c>
      <c r="C177" s="22">
        <v>-3409.2476872269763</v>
      </c>
    </row>
    <row r="178" spans="1:3">
      <c r="A178" s="21">
        <v>572011.19999999995</v>
      </c>
      <c r="B178" s="22">
        <v>575579.49305873294</v>
      </c>
      <c r="C178" s="22">
        <v>-3568.2930587329902</v>
      </c>
    </row>
    <row r="179" spans="1:3">
      <c r="A179" s="21">
        <v>692008.64</v>
      </c>
      <c r="B179" s="22">
        <v>695736.50221221417</v>
      </c>
      <c r="C179" s="22">
        <v>-3727.8622122141533</v>
      </c>
    </row>
    <row r="180" spans="1:3">
      <c r="A180" s="21">
        <v>498970.32</v>
      </c>
      <c r="B180" s="22">
        <v>503065.44948057696</v>
      </c>
      <c r="C180" s="22">
        <v>-4095.1294805769576</v>
      </c>
    </row>
    <row r="181" spans="1:3">
      <c r="A181" s="21">
        <v>799756.46</v>
      </c>
      <c r="B181" s="22">
        <v>804321.33038971364</v>
      </c>
      <c r="C181" s="22">
        <v>-4564.8703897136729</v>
      </c>
    </row>
    <row r="182" spans="1:3">
      <c r="A182" s="21">
        <v>697155.3</v>
      </c>
      <c r="B182" s="22">
        <v>701782.63148184284</v>
      </c>
      <c r="C182" s="22">
        <v>-4627.3314818427898</v>
      </c>
    </row>
    <row r="183" spans="1:3">
      <c r="A183" s="21">
        <v>736633.4</v>
      </c>
      <c r="B183" s="22">
        <v>742192.69154701044</v>
      </c>
      <c r="C183" s="22">
        <v>-5559.2915470104199</v>
      </c>
    </row>
    <row r="184" spans="1:3">
      <c r="A184" s="21">
        <v>798952.17</v>
      </c>
      <c r="B184" s="22">
        <v>804650.12873639865</v>
      </c>
      <c r="C184" s="22">
        <v>-5697.9587363986066</v>
      </c>
    </row>
    <row r="185" spans="1:3">
      <c r="A185" s="21">
        <v>811771.14</v>
      </c>
      <c r="B185" s="22">
        <v>818337.96957407636</v>
      </c>
      <c r="C185" s="22">
        <v>-6566.8295740763424</v>
      </c>
    </row>
    <row r="186" spans="1:3">
      <c r="A186" s="21">
        <v>611924.27</v>
      </c>
      <c r="B186" s="22">
        <v>618539.09403742198</v>
      </c>
      <c r="C186" s="22">
        <v>-6614.8240374219604</v>
      </c>
    </row>
    <row r="187" spans="1:3">
      <c r="A187" s="21">
        <v>801830.35</v>
      </c>
      <c r="B187" s="22">
        <v>808565.94772391382</v>
      </c>
      <c r="C187" s="22">
        <v>-6735.5977239138447</v>
      </c>
    </row>
    <row r="188" spans="1:3">
      <c r="A188" s="21">
        <v>730890.01</v>
      </c>
      <c r="B188" s="22">
        <v>737780.90257843467</v>
      </c>
      <c r="C188" s="22">
        <v>-6890.8925784346648</v>
      </c>
    </row>
    <row r="189" spans="1:3">
      <c r="A189" s="21">
        <v>642751.42000000004</v>
      </c>
      <c r="B189" s="22">
        <v>649687.55265496159</v>
      </c>
      <c r="C189" s="22">
        <v>-6936.1326549615478</v>
      </c>
    </row>
    <row r="190" spans="1:3">
      <c r="A190" s="21">
        <v>616069.41</v>
      </c>
      <c r="B190" s="22">
        <v>623389.122397542</v>
      </c>
      <c r="C190" s="22">
        <v>-7319.7123975419672</v>
      </c>
    </row>
    <row r="191" spans="1:3">
      <c r="A191" s="21">
        <v>601568.87</v>
      </c>
      <c r="B191" s="22">
        <v>609166.67887880583</v>
      </c>
      <c r="C191" s="22">
        <v>-7597.8088788058376</v>
      </c>
    </row>
    <row r="192" spans="1:3">
      <c r="A192" s="21">
        <v>450711.92</v>
      </c>
      <c r="B192" s="22">
        <v>458497.88488356443</v>
      </c>
      <c r="C192" s="22">
        <v>-7785.9648835644475</v>
      </c>
    </row>
    <row r="193" spans="1:3">
      <c r="A193" s="21">
        <v>714942.43</v>
      </c>
      <c r="B193" s="22">
        <v>722868.79122022865</v>
      </c>
      <c r="C193" s="22">
        <v>-7926.3612202286022</v>
      </c>
    </row>
    <row r="194" spans="1:3">
      <c r="A194" s="21">
        <v>565810.99</v>
      </c>
      <c r="B194" s="22">
        <v>573943.40628840553</v>
      </c>
      <c r="C194" s="22">
        <v>-8132.4162884055404</v>
      </c>
    </row>
    <row r="195" spans="1:3">
      <c r="A195" s="21">
        <v>764949</v>
      </c>
      <c r="B195" s="22">
        <v>773394.11105355527</v>
      </c>
      <c r="C195" s="22">
        <v>-8445.1110535552725</v>
      </c>
    </row>
    <row r="196" spans="1:3">
      <c r="A196" s="21">
        <v>677096.71</v>
      </c>
      <c r="B196" s="22">
        <v>685696.23234377988</v>
      </c>
      <c r="C196" s="22">
        <v>-8599.5223437799141</v>
      </c>
    </row>
    <row r="197" spans="1:3">
      <c r="A197" s="21">
        <v>702318.94</v>
      </c>
      <c r="B197" s="22">
        <v>711416.84573196177</v>
      </c>
      <c r="C197" s="22">
        <v>-9097.9057319618296</v>
      </c>
    </row>
    <row r="198" spans="1:3">
      <c r="A198" s="21">
        <v>679888.74</v>
      </c>
      <c r="B198" s="22">
        <v>689049.16734081355</v>
      </c>
      <c r="C198" s="22">
        <v>-9160.4273408135632</v>
      </c>
    </row>
    <row r="199" spans="1:3">
      <c r="A199" s="21">
        <v>842439.67</v>
      </c>
      <c r="B199" s="22">
        <v>851774.84481733339</v>
      </c>
      <c r="C199" s="22">
        <v>-9335.1748173333472</v>
      </c>
    </row>
    <row r="200" spans="1:3">
      <c r="A200" s="21">
        <v>593247.25</v>
      </c>
      <c r="B200" s="22">
        <v>603033.47334452556</v>
      </c>
      <c r="C200" s="22">
        <v>-9786.2233445255551</v>
      </c>
    </row>
    <row r="201" spans="1:3">
      <c r="A201" s="21">
        <v>825060.52</v>
      </c>
      <c r="B201" s="22">
        <v>835660.21419423947</v>
      </c>
      <c r="C201" s="22">
        <v>-10599.694194239448</v>
      </c>
    </row>
    <row r="202" spans="1:3">
      <c r="A202" s="21">
        <v>606278.30000000005</v>
      </c>
      <c r="B202" s="22">
        <v>616996.6289922588</v>
      </c>
      <c r="C202" s="22">
        <v>-10718.328992258757</v>
      </c>
    </row>
    <row r="203" spans="1:3">
      <c r="A203" s="21">
        <v>633009.53</v>
      </c>
      <c r="B203" s="22">
        <v>644462.01964743261</v>
      </c>
      <c r="C203" s="22">
        <v>-11452.48964743258</v>
      </c>
    </row>
    <row r="204" spans="1:3">
      <c r="A204" s="21">
        <v>752321.72</v>
      </c>
      <c r="B204" s="22">
        <v>764791.48057617072</v>
      </c>
      <c r="C204" s="22">
        <v>-12469.760576170753</v>
      </c>
    </row>
    <row r="205" spans="1:3">
      <c r="A205" s="21">
        <v>621677.30000000005</v>
      </c>
      <c r="B205" s="22">
        <v>634409.27279060939</v>
      </c>
      <c r="C205" s="22">
        <v>-12731.972790609347</v>
      </c>
    </row>
    <row r="206" spans="1:3">
      <c r="A206" s="21">
        <v>628538.30000000005</v>
      </c>
      <c r="B206" s="22">
        <v>641445.12633174926</v>
      </c>
      <c r="C206" s="22">
        <v>-12906.826331749209</v>
      </c>
    </row>
    <row r="207" spans="1:3">
      <c r="A207" s="21">
        <v>784502.68</v>
      </c>
      <c r="B207" s="22">
        <v>798110.59441504988</v>
      </c>
      <c r="C207" s="22">
        <v>-13607.914415049832</v>
      </c>
    </row>
    <row r="208" spans="1:3">
      <c r="A208" s="21">
        <v>717141.55</v>
      </c>
      <c r="B208" s="22">
        <v>730750.95986787498</v>
      </c>
      <c r="C208" s="22">
        <v>-13609.409867874929</v>
      </c>
    </row>
    <row r="209" spans="1:3">
      <c r="A209" s="21">
        <v>599017.32999999996</v>
      </c>
      <c r="B209" s="22">
        <v>612630.56703677599</v>
      </c>
      <c r="C209" s="22">
        <v>-13613.23703677603</v>
      </c>
    </row>
    <row r="210" spans="1:3">
      <c r="A210" s="21">
        <v>400831.65</v>
      </c>
      <c r="B210" s="22">
        <v>414643.14782129868</v>
      </c>
      <c r="C210" s="22">
        <v>-13811.497821298661</v>
      </c>
    </row>
    <row r="211" spans="1:3">
      <c r="A211" s="21">
        <v>591619.94999999995</v>
      </c>
      <c r="B211" s="22">
        <v>605438.05780605634</v>
      </c>
      <c r="C211" s="22">
        <v>-13818.107806056389</v>
      </c>
    </row>
    <row r="212" spans="1:3">
      <c r="A212" s="21">
        <v>946833.54</v>
      </c>
      <c r="B212" s="22">
        <v>960661.32299204334</v>
      </c>
      <c r="C212" s="22">
        <v>-13827.7829920433</v>
      </c>
    </row>
    <row r="213" spans="1:3">
      <c r="A213" s="21">
        <v>761963.23</v>
      </c>
      <c r="B213" s="22">
        <v>775876.44627896696</v>
      </c>
      <c r="C213" s="22">
        <v>-13913.216278966982</v>
      </c>
    </row>
    <row r="214" spans="1:3">
      <c r="A214" s="21">
        <v>761122.42</v>
      </c>
      <c r="B214" s="22">
        <v>775162.85391110869</v>
      </c>
      <c r="C214" s="22">
        <v>-14040.433911108645</v>
      </c>
    </row>
    <row r="215" spans="1:3">
      <c r="A215" s="21">
        <v>636775.66</v>
      </c>
      <c r="B215" s="22">
        <v>650838.96184476546</v>
      </c>
      <c r="C215" s="22">
        <v>-14063.301844765432</v>
      </c>
    </row>
    <row r="216" spans="1:3">
      <c r="A216" s="21">
        <v>703812.99</v>
      </c>
      <c r="B216" s="22">
        <v>718685.64427601453</v>
      </c>
      <c r="C216" s="22">
        <v>-14872.654276014538</v>
      </c>
    </row>
    <row r="217" spans="1:3">
      <c r="A217" s="21">
        <v>735480.19</v>
      </c>
      <c r="B217" s="22">
        <v>750415.66870969604</v>
      </c>
      <c r="C217" s="22">
        <v>-14935.478709696094</v>
      </c>
    </row>
    <row r="218" spans="1:3">
      <c r="A218" s="21">
        <v>614024.91</v>
      </c>
      <c r="B218" s="22">
        <v>630415.30052263371</v>
      </c>
      <c r="C218" s="22">
        <v>-16390.390522633679</v>
      </c>
    </row>
    <row r="219" spans="1:3">
      <c r="A219" s="21">
        <v>666152.52</v>
      </c>
      <c r="B219" s="22">
        <v>682642.82017672656</v>
      </c>
      <c r="C219" s="22">
        <v>-16490.300176726538</v>
      </c>
    </row>
    <row r="220" spans="1:3">
      <c r="A220" s="21">
        <v>708985.19</v>
      </c>
      <c r="B220" s="22">
        <v>725982.99985167943</v>
      </c>
      <c r="C220" s="22">
        <v>-16997.809851679485</v>
      </c>
    </row>
    <row r="221" spans="1:3">
      <c r="A221" s="21">
        <v>518049.26</v>
      </c>
      <c r="B221" s="22">
        <v>535827.71610220021</v>
      </c>
      <c r="C221" s="22">
        <v>-17778.456102200202</v>
      </c>
    </row>
    <row r="222" spans="1:3">
      <c r="A222" s="21">
        <v>726776.22</v>
      </c>
      <c r="B222" s="22">
        <v>744564.27414059523</v>
      </c>
      <c r="C222" s="22">
        <v>-17788.054140595254</v>
      </c>
    </row>
    <row r="223" spans="1:3">
      <c r="A223" s="21">
        <v>633494.21</v>
      </c>
      <c r="B223" s="22">
        <v>651510.40485204244</v>
      </c>
      <c r="C223" s="22">
        <v>-18016.194852042478</v>
      </c>
    </row>
    <row r="224" spans="1:3">
      <c r="A224" s="21">
        <v>706285.52</v>
      </c>
      <c r="B224" s="22">
        <v>725010.65383094293</v>
      </c>
      <c r="C224" s="22">
        <v>-18725.133830942912</v>
      </c>
    </row>
    <row r="225" spans="1:3">
      <c r="A225" s="21">
        <v>621369.57999999996</v>
      </c>
      <c r="B225" s="22">
        <v>640480.7484670995</v>
      </c>
      <c r="C225" s="22">
        <v>-19111.168467099546</v>
      </c>
    </row>
    <row r="226" spans="1:3">
      <c r="A226" s="21">
        <v>799477.76000000001</v>
      </c>
      <c r="B226" s="22">
        <v>818673.72170365299</v>
      </c>
      <c r="C226" s="22">
        <v>-19195.961703652982</v>
      </c>
    </row>
    <row r="227" spans="1:3">
      <c r="A227" s="21">
        <v>585937.48</v>
      </c>
      <c r="B227" s="22">
        <v>605483.0144494538</v>
      </c>
      <c r="C227" s="22">
        <v>-19545.534449453815</v>
      </c>
    </row>
    <row r="228" spans="1:3">
      <c r="A228" s="21">
        <v>804264</v>
      </c>
      <c r="B228" s="22">
        <v>823882.24828322756</v>
      </c>
      <c r="C228" s="22">
        <v>-19618.248283227556</v>
      </c>
    </row>
    <row r="229" spans="1:3">
      <c r="A229" s="21">
        <v>811452.72</v>
      </c>
      <c r="B229" s="22">
        <v>831104.77151752228</v>
      </c>
      <c r="C229" s="22">
        <v>-19652.051517522312</v>
      </c>
    </row>
    <row r="230" spans="1:3">
      <c r="A230" s="21">
        <v>702068.92</v>
      </c>
      <c r="B230" s="22">
        <v>722151.65099623357</v>
      </c>
      <c r="C230" s="22">
        <v>-20082.730996233528</v>
      </c>
    </row>
    <row r="231" spans="1:3">
      <c r="A231" s="21">
        <v>636561.34</v>
      </c>
      <c r="B231" s="22">
        <v>656931.65689482866</v>
      </c>
      <c r="C231" s="22">
        <v>-20370.316894828691</v>
      </c>
    </row>
    <row r="232" spans="1:3">
      <c r="A232" s="21">
        <v>718074.79</v>
      </c>
      <c r="B232" s="22">
        <v>738561.88972115389</v>
      </c>
      <c r="C232" s="22">
        <v>-20487.099721153849</v>
      </c>
    </row>
    <row r="233" spans="1:3">
      <c r="A233" s="21">
        <v>602002.31999999995</v>
      </c>
      <c r="B233" s="22">
        <v>622847.79389346251</v>
      </c>
      <c r="C233" s="22">
        <v>-20845.473893462564</v>
      </c>
    </row>
    <row r="234" spans="1:3">
      <c r="A234" s="21">
        <v>746501.09</v>
      </c>
      <c r="B234" s="22">
        <v>767433.85418163717</v>
      </c>
      <c r="C234" s="22">
        <v>-20932.764181637205</v>
      </c>
    </row>
    <row r="235" spans="1:3">
      <c r="A235" s="21">
        <v>622892.42000000004</v>
      </c>
      <c r="B235" s="22">
        <v>644597.75422419107</v>
      </c>
      <c r="C235" s="22">
        <v>-21705.334224191029</v>
      </c>
    </row>
    <row r="236" spans="1:3">
      <c r="A236" s="21">
        <v>681855.56</v>
      </c>
      <c r="B236" s="22">
        <v>703615.69476955698</v>
      </c>
      <c r="C236" s="22">
        <v>-21760.134769556927</v>
      </c>
    </row>
    <row r="237" spans="1:3">
      <c r="A237" s="21">
        <v>607898.12</v>
      </c>
      <c r="B237" s="22">
        <v>629727.88684800989</v>
      </c>
      <c r="C237" s="22">
        <v>-21829.766848009895</v>
      </c>
    </row>
    <row r="238" spans="1:3">
      <c r="A238" s="21">
        <v>548103.69999999995</v>
      </c>
      <c r="B238" s="22">
        <v>570029.6319098745</v>
      </c>
      <c r="C238" s="22">
        <v>-21925.931909874547</v>
      </c>
    </row>
    <row r="239" spans="1:3">
      <c r="A239" s="21">
        <v>443275.59</v>
      </c>
      <c r="B239" s="22">
        <v>465699.20090801804</v>
      </c>
      <c r="C239" s="22">
        <v>-22423.610908018018</v>
      </c>
    </row>
    <row r="240" spans="1:3">
      <c r="A240" s="21">
        <v>679731.57</v>
      </c>
      <c r="B240" s="22">
        <v>702432.18647039868</v>
      </c>
      <c r="C240" s="22">
        <v>-22700.616470398731</v>
      </c>
    </row>
    <row r="241" spans="1:3">
      <c r="A241" s="21">
        <v>666573.19999999995</v>
      </c>
      <c r="B241" s="22">
        <v>689385.57087479357</v>
      </c>
      <c r="C241" s="22">
        <v>-22812.370874793618</v>
      </c>
    </row>
    <row r="242" spans="1:3">
      <c r="A242" s="21">
        <v>527681.56000000006</v>
      </c>
      <c r="B242" s="22">
        <v>551039.89290141605</v>
      </c>
      <c r="C242" s="22">
        <v>-23358.332901415997</v>
      </c>
    </row>
    <row r="243" spans="1:3">
      <c r="A243" s="21">
        <v>555557.77</v>
      </c>
      <c r="B243" s="22">
        <v>579114.13175114151</v>
      </c>
      <c r="C243" s="22">
        <v>-23556.361751141492</v>
      </c>
    </row>
    <row r="244" spans="1:3">
      <c r="A244" s="21">
        <v>491905.13</v>
      </c>
      <c r="B244" s="22">
        <v>515513.56971366133</v>
      </c>
      <c r="C244" s="22">
        <v>-23608.439713661326</v>
      </c>
    </row>
    <row r="245" spans="1:3">
      <c r="A245" s="21">
        <v>500173.02</v>
      </c>
      <c r="B245" s="22">
        <v>524155.13827076694</v>
      </c>
      <c r="C245" s="22">
        <v>-23982.118270766921</v>
      </c>
    </row>
    <row r="246" spans="1:3">
      <c r="A246" s="21">
        <v>529075.94999999995</v>
      </c>
      <c r="B246" s="22">
        <v>554203.8548514765</v>
      </c>
      <c r="C246" s="22">
        <v>-25127.904851476545</v>
      </c>
    </row>
    <row r="247" spans="1:3">
      <c r="A247" s="21">
        <v>785028.25</v>
      </c>
      <c r="B247" s="22">
        <v>810481.25313108147</v>
      </c>
      <c r="C247" s="22">
        <v>-25453.003131081467</v>
      </c>
    </row>
    <row r="248" spans="1:3">
      <c r="A248" s="21">
        <v>479050.5</v>
      </c>
      <c r="B248" s="22">
        <v>504700.97478843748</v>
      </c>
      <c r="C248" s="22">
        <v>-25650.474788437481</v>
      </c>
    </row>
    <row r="249" spans="1:3">
      <c r="A249" s="21">
        <v>761835.34</v>
      </c>
      <c r="B249" s="22">
        <v>788487.32927338185</v>
      </c>
      <c r="C249" s="22">
        <v>-26651.989273381885</v>
      </c>
    </row>
    <row r="250" spans="1:3">
      <c r="A250" s="21">
        <v>573155.18999999994</v>
      </c>
      <c r="B250" s="22">
        <v>600134.13058538933</v>
      </c>
      <c r="C250" s="22">
        <v>-26978.940585389384</v>
      </c>
    </row>
    <row r="251" spans="1:3">
      <c r="A251" s="21">
        <v>758138.29</v>
      </c>
      <c r="B251" s="22">
        <v>786071.114001301</v>
      </c>
      <c r="C251" s="22">
        <v>-27932.824001300964</v>
      </c>
    </row>
    <row r="252" spans="1:3">
      <c r="A252" s="21">
        <v>679230.86</v>
      </c>
      <c r="B252" s="22">
        <v>709367.8418663448</v>
      </c>
      <c r="C252" s="22">
        <v>-30136.98186634481</v>
      </c>
    </row>
    <row r="253" spans="1:3">
      <c r="A253" s="21">
        <v>779010.94</v>
      </c>
      <c r="B253" s="22">
        <v>809993.71025104041</v>
      </c>
      <c r="C253" s="22">
        <v>-30982.770251040463</v>
      </c>
    </row>
    <row r="254" spans="1:3">
      <c r="A254" s="21">
        <v>622811.74</v>
      </c>
      <c r="B254" s="22">
        <v>654339.53540204989</v>
      </c>
      <c r="C254" s="22">
        <v>-31527.795402049902</v>
      </c>
    </row>
    <row r="255" spans="1:3">
      <c r="A255" s="21">
        <v>697287.9</v>
      </c>
      <c r="B255" s="22">
        <v>729182.14657605835</v>
      </c>
      <c r="C255" s="22">
        <v>-31894.246576058329</v>
      </c>
    </row>
    <row r="256" spans="1:3">
      <c r="A256" s="21">
        <v>800979.78</v>
      </c>
      <c r="B256" s="22">
        <v>833613.96309150185</v>
      </c>
      <c r="C256" s="22">
        <v>-32634.183091501822</v>
      </c>
    </row>
    <row r="257" spans="1:3">
      <c r="A257" s="21">
        <v>557487.26</v>
      </c>
      <c r="B257" s="22">
        <v>590132.2348380473</v>
      </c>
      <c r="C257" s="22">
        <v>-32644.974838047288</v>
      </c>
    </row>
    <row r="258" spans="1:3">
      <c r="A258" s="21">
        <v>718330.53</v>
      </c>
      <c r="B258" s="22">
        <v>751145.22315463715</v>
      </c>
      <c r="C258" s="22">
        <v>-32814.69315463712</v>
      </c>
    </row>
    <row r="259" spans="1:3">
      <c r="A259" s="21">
        <v>537058.32999999996</v>
      </c>
      <c r="B259" s="22">
        <v>570244.09970385628</v>
      </c>
      <c r="C259" s="22">
        <v>-33185.76970385632</v>
      </c>
    </row>
    <row r="260" spans="1:3">
      <c r="A260" s="21">
        <v>721364.11</v>
      </c>
      <c r="B260" s="22">
        <v>754907.2029088916</v>
      </c>
      <c r="C260" s="22">
        <v>-33543.092908891616</v>
      </c>
    </row>
    <row r="261" spans="1:3">
      <c r="A261" s="21">
        <v>500298.48</v>
      </c>
      <c r="B261" s="22">
        <v>534480.68864237994</v>
      </c>
      <c r="C261" s="22">
        <v>-34182.208642379963</v>
      </c>
    </row>
    <row r="262" spans="1:3">
      <c r="A262" s="21">
        <v>633638.03</v>
      </c>
      <c r="B262" s="22">
        <v>668433.91382861382</v>
      </c>
      <c r="C262" s="22">
        <v>-34795.883828613791</v>
      </c>
    </row>
    <row r="263" spans="1:3">
      <c r="A263" s="21">
        <v>723531.4</v>
      </c>
      <c r="B263" s="22">
        <v>758946.79229683429</v>
      </c>
      <c r="C263" s="22">
        <v>-35415.392296834267</v>
      </c>
    </row>
    <row r="264" spans="1:3">
      <c r="A264" s="21">
        <v>546223.69999999995</v>
      </c>
      <c r="B264" s="22">
        <v>584302.07365785819</v>
      </c>
      <c r="C264" s="22">
        <v>-38078.373657858232</v>
      </c>
    </row>
    <row r="265" spans="1:3">
      <c r="A265" s="21">
        <v>487464.91</v>
      </c>
      <c r="B265" s="22">
        <v>526048.55061148515</v>
      </c>
      <c r="C265" s="22">
        <v>-38583.640611485171</v>
      </c>
    </row>
    <row r="266" spans="1:3">
      <c r="A266" s="21">
        <v>536524.84</v>
      </c>
      <c r="B266" s="22">
        <v>575572.16699666774</v>
      </c>
      <c r="C266" s="22">
        <v>-39047.326996667776</v>
      </c>
    </row>
    <row r="267" spans="1:3">
      <c r="A267" s="21">
        <v>524899.56999999995</v>
      </c>
      <c r="B267" s="22">
        <v>564548.91304834979</v>
      </c>
      <c r="C267" s="22">
        <v>-39649.343048349838</v>
      </c>
    </row>
    <row r="268" spans="1:3">
      <c r="A268" s="21">
        <v>598904.9</v>
      </c>
      <c r="B268" s="22">
        <v>639358.41276094958</v>
      </c>
      <c r="C268" s="22">
        <v>-40453.512760949554</v>
      </c>
    </row>
    <row r="269" spans="1:3">
      <c r="A269" s="21">
        <v>577732.56999999995</v>
      </c>
      <c r="B269" s="22">
        <v>618925.68963017839</v>
      </c>
      <c r="C269" s="22">
        <v>-41193.119630178437</v>
      </c>
    </row>
    <row r="270" spans="1:3">
      <c r="A270" s="21">
        <v>596969.27</v>
      </c>
      <c r="B270" s="22">
        <v>638925.61951514485</v>
      </c>
      <c r="C270" s="22">
        <v>-41956.34951514483</v>
      </c>
    </row>
    <row r="271" spans="1:3">
      <c r="A271" s="21">
        <v>723060.76</v>
      </c>
      <c r="B271" s="22">
        <v>765092.02139150305</v>
      </c>
      <c r="C271" s="22">
        <v>-42031.261391503038</v>
      </c>
    </row>
    <row r="272" spans="1:3">
      <c r="A272" s="21">
        <v>586626.93999999994</v>
      </c>
      <c r="B272" s="22">
        <v>629031.76939835248</v>
      </c>
      <c r="C272" s="22">
        <v>-42404.829398352536</v>
      </c>
    </row>
    <row r="273" spans="1:3">
      <c r="A273" s="21">
        <v>696261.49</v>
      </c>
      <c r="B273" s="22">
        <v>738747.79301939404</v>
      </c>
      <c r="C273" s="22">
        <v>-42486.30301939405</v>
      </c>
    </row>
    <row r="274" spans="1:3">
      <c r="A274" s="21">
        <v>574066.61</v>
      </c>
      <c r="B274" s="22">
        <v>617331.02645203017</v>
      </c>
      <c r="C274" s="22">
        <v>-43264.416452030186</v>
      </c>
    </row>
    <row r="275" spans="1:3">
      <c r="A275" s="21">
        <v>578949.84</v>
      </c>
      <c r="B275" s="22">
        <v>622458.95714249532</v>
      </c>
      <c r="C275" s="22">
        <v>-43509.11714249535</v>
      </c>
    </row>
    <row r="276" spans="1:3">
      <c r="A276" s="21">
        <v>599603.4</v>
      </c>
      <c r="B276" s="22">
        <v>644090.55773763824</v>
      </c>
      <c r="C276" s="22">
        <v>-44487.157737638219</v>
      </c>
    </row>
    <row r="277" spans="1:3">
      <c r="A277" s="21">
        <v>643428.85</v>
      </c>
      <c r="B277" s="22">
        <v>688114.08081942075</v>
      </c>
      <c r="C277" s="22">
        <v>-44685.230819420773</v>
      </c>
    </row>
    <row r="278" spans="1:3">
      <c r="A278" s="21">
        <v>612390.14</v>
      </c>
      <c r="B278" s="22">
        <v>657437.72749719315</v>
      </c>
      <c r="C278" s="22">
        <v>-45047.587497193133</v>
      </c>
    </row>
    <row r="279" spans="1:3">
      <c r="A279" s="21">
        <v>449465.06</v>
      </c>
      <c r="B279" s="22">
        <v>495405.10777890147</v>
      </c>
      <c r="C279" s="22">
        <v>-45940.047778901469</v>
      </c>
    </row>
    <row r="280" spans="1:3">
      <c r="A280" s="21">
        <v>658832.62</v>
      </c>
      <c r="B280" s="22">
        <v>705708.41204226715</v>
      </c>
      <c r="C280" s="22">
        <v>-46875.79204226716</v>
      </c>
    </row>
    <row r="281" spans="1:3">
      <c r="A281" s="21">
        <v>650480.06000000006</v>
      </c>
      <c r="B281" s="22">
        <v>697567.76422317862</v>
      </c>
      <c r="C281" s="22">
        <v>-47087.70422317856</v>
      </c>
    </row>
    <row r="282" spans="1:3">
      <c r="A282" s="21">
        <v>739831.73</v>
      </c>
      <c r="B282" s="22">
        <v>787514.08042629459</v>
      </c>
      <c r="C282" s="22">
        <v>-47682.350426294608</v>
      </c>
    </row>
    <row r="283" spans="1:3">
      <c r="A283" s="21">
        <v>650795.49</v>
      </c>
      <c r="B283" s="22">
        <v>698730.72405330278</v>
      </c>
      <c r="C283" s="22">
        <v>-47935.234053302789</v>
      </c>
    </row>
    <row r="284" spans="1:3">
      <c r="A284" s="21">
        <v>559660.84</v>
      </c>
      <c r="B284" s="22">
        <v>608589.64465891523</v>
      </c>
      <c r="C284" s="22">
        <v>-48928.804658915265</v>
      </c>
    </row>
    <row r="285" spans="1:3">
      <c r="A285" s="21">
        <v>685830.24</v>
      </c>
      <c r="B285" s="22">
        <v>734774.39173554257</v>
      </c>
      <c r="C285" s="22">
        <v>-48944.151735542575</v>
      </c>
    </row>
    <row r="286" spans="1:3">
      <c r="A286" s="21">
        <v>509484.81</v>
      </c>
      <c r="B286" s="22">
        <v>562973.3655538864</v>
      </c>
      <c r="C286" s="22">
        <v>-53488.555553886399</v>
      </c>
    </row>
    <row r="287" spans="1:3">
      <c r="A287" s="21">
        <v>680840.36</v>
      </c>
      <c r="B287" s="22">
        <v>735884.11326159292</v>
      </c>
      <c r="C287" s="22">
        <v>-55043.753261592938</v>
      </c>
    </row>
    <row r="288" spans="1:3">
      <c r="A288" s="21">
        <v>527300.13</v>
      </c>
      <c r="B288" s="22">
        <v>582374.09872959345</v>
      </c>
      <c r="C288" s="22">
        <v>-55073.968729593442</v>
      </c>
    </row>
    <row r="289" spans="1:3">
      <c r="A289" s="21">
        <v>651164.18000000005</v>
      </c>
      <c r="B289" s="22">
        <v>706664.88453034009</v>
      </c>
      <c r="C289" s="22">
        <v>-55500.704530340037</v>
      </c>
    </row>
    <row r="290" spans="1:3">
      <c r="A290" s="21">
        <v>570963.31000000006</v>
      </c>
      <c r="B290" s="22">
        <v>627652.08074852172</v>
      </c>
      <c r="C290" s="22">
        <v>-56688.770748521667</v>
      </c>
    </row>
    <row r="291" spans="1:3">
      <c r="A291" s="21">
        <v>554012.06999999995</v>
      </c>
      <c r="B291" s="22">
        <v>612517.10764191579</v>
      </c>
      <c r="C291" s="22">
        <v>-58505.037641915842</v>
      </c>
    </row>
    <row r="292" spans="1:3">
      <c r="A292" s="21">
        <v>671868.59</v>
      </c>
      <c r="B292" s="22">
        <v>730625.02943936735</v>
      </c>
      <c r="C292" s="22">
        <v>-58756.439439367387</v>
      </c>
    </row>
    <row r="293" spans="1:3">
      <c r="A293" s="21">
        <v>741341.44</v>
      </c>
      <c r="B293" s="22">
        <v>800646.98058267473</v>
      </c>
      <c r="C293" s="22">
        <v>-59305.540582674788</v>
      </c>
    </row>
    <row r="294" spans="1:3">
      <c r="A294" s="21">
        <v>721079.35</v>
      </c>
      <c r="B294" s="22">
        <v>780425.37538301363</v>
      </c>
      <c r="C294" s="22">
        <v>-59346.02538301365</v>
      </c>
    </row>
    <row r="295" spans="1:3">
      <c r="A295" s="21">
        <v>726606.28</v>
      </c>
      <c r="B295" s="22">
        <v>789482.83068969124</v>
      </c>
      <c r="C295" s="22">
        <v>-62876.550689691212</v>
      </c>
    </row>
    <row r="296" spans="1:3">
      <c r="A296" s="21">
        <v>401582.58</v>
      </c>
      <c r="B296" s="22">
        <v>465155.89440870663</v>
      </c>
      <c r="C296" s="22">
        <v>-63573.314408706618</v>
      </c>
    </row>
    <row r="297" spans="1:3">
      <c r="A297" s="21">
        <v>617291.15</v>
      </c>
      <c r="B297" s="22">
        <v>683477.2129441587</v>
      </c>
      <c r="C297" s="22">
        <v>-66186.062944158679</v>
      </c>
    </row>
    <row r="298" spans="1:3">
      <c r="A298" s="21">
        <v>553756.43000000005</v>
      </c>
      <c r="B298" s="22">
        <v>620306.34900597762</v>
      </c>
      <c r="C298" s="22">
        <v>-66549.919005977572</v>
      </c>
    </row>
    <row r="299" spans="1:3">
      <c r="A299" s="21">
        <v>620264.19999999995</v>
      </c>
      <c r="B299" s="22">
        <v>687584.25435584469</v>
      </c>
      <c r="C299" s="22">
        <v>-67320.054355844739</v>
      </c>
    </row>
    <row r="300" spans="1:3">
      <c r="A300" s="21">
        <v>593343</v>
      </c>
      <c r="B300" s="22">
        <v>662237.78457803209</v>
      </c>
      <c r="C300" s="22">
        <v>-68894.784578032093</v>
      </c>
    </row>
    <row r="301" spans="1:3">
      <c r="A301" s="21">
        <v>634436</v>
      </c>
      <c r="B301" s="22">
        <v>704797.65521195461</v>
      </c>
      <c r="C301" s="22">
        <v>-70361.65521195461</v>
      </c>
    </row>
    <row r="302" spans="1:3">
      <c r="A302" s="21">
        <v>441275.42</v>
      </c>
      <c r="B302" s="22">
        <v>512236.15414734394</v>
      </c>
      <c r="C302" s="22">
        <v>-70960.734147343959</v>
      </c>
    </row>
    <row r="303" spans="1:3">
      <c r="A303" s="21">
        <v>673076.34</v>
      </c>
      <c r="B303" s="22">
        <v>744586.47154279496</v>
      </c>
      <c r="C303" s="22">
        <v>-71510.131542794988</v>
      </c>
    </row>
    <row r="304" spans="1:3">
      <c r="A304" s="21">
        <v>725235.28</v>
      </c>
      <c r="B304" s="22">
        <v>797798.51994929963</v>
      </c>
      <c r="C304" s="22">
        <v>-72563.239949299605</v>
      </c>
    </row>
    <row r="305" spans="1:3">
      <c r="A305" s="21">
        <v>607084.92000000004</v>
      </c>
      <c r="B305" s="22">
        <v>680579.7565044295</v>
      </c>
      <c r="C305" s="22">
        <v>-73494.836504429462</v>
      </c>
    </row>
    <row r="306" spans="1:3">
      <c r="A306" s="21">
        <v>675917.63</v>
      </c>
      <c r="B306" s="22">
        <v>751248.67500824796</v>
      </c>
      <c r="C306" s="22">
        <v>-75331.045008247951</v>
      </c>
    </row>
    <row r="307" spans="1:3">
      <c r="A307" s="21">
        <v>660633.99</v>
      </c>
      <c r="B307" s="22">
        <v>736412.76177922729</v>
      </c>
      <c r="C307" s="22">
        <v>-75778.771779227303</v>
      </c>
    </row>
    <row r="308" spans="1:3">
      <c r="A308" s="21">
        <v>691288.19</v>
      </c>
      <c r="B308" s="22">
        <v>767334.62564946793</v>
      </c>
      <c r="C308" s="22">
        <v>-76046.435649467981</v>
      </c>
    </row>
    <row r="309" spans="1:3">
      <c r="A309" s="21">
        <v>684217.32</v>
      </c>
      <c r="B309" s="22">
        <v>760788.54948605946</v>
      </c>
      <c r="C309" s="22">
        <v>-76571.229486059514</v>
      </c>
    </row>
    <row r="310" spans="1:3">
      <c r="A310" s="21">
        <v>630829.93999999994</v>
      </c>
      <c r="B310" s="22">
        <v>709067.71983538975</v>
      </c>
      <c r="C310" s="22">
        <v>-78237.779835389811</v>
      </c>
    </row>
    <row r="311" spans="1:3">
      <c r="A311" s="21">
        <v>678722.06</v>
      </c>
      <c r="B311" s="22">
        <v>760340.81765956897</v>
      </c>
      <c r="C311" s="22">
        <v>-81618.757659568917</v>
      </c>
    </row>
    <row r="312" spans="1:3">
      <c r="A312" s="21">
        <v>427917.38</v>
      </c>
      <c r="B312" s="22">
        <v>509707.37453195627</v>
      </c>
      <c r="C312" s="22">
        <v>-81789.994531956268</v>
      </c>
    </row>
    <row r="313" spans="1:3">
      <c r="A313" s="21">
        <v>511844.41</v>
      </c>
      <c r="B313" s="22">
        <v>594561.77717798215</v>
      </c>
      <c r="C313" s="22">
        <v>-82717.367177982174</v>
      </c>
    </row>
    <row r="314" spans="1:3">
      <c r="A314" s="21">
        <v>463534.25</v>
      </c>
      <c r="B314" s="22">
        <v>553195.99430561357</v>
      </c>
      <c r="C314" s="22">
        <v>-89661.744305613567</v>
      </c>
    </row>
    <row r="315" spans="1:3">
      <c r="A315" s="21">
        <v>593637.14</v>
      </c>
      <c r="B315" s="22">
        <v>684146.02563702746</v>
      </c>
      <c r="C315" s="22">
        <v>-90508.885637027444</v>
      </c>
    </row>
    <row r="316" spans="1:3">
      <c r="A316" s="21">
        <v>800451.94</v>
      </c>
      <c r="B316" s="22">
        <v>892042.42723785178</v>
      </c>
      <c r="C316" s="22">
        <v>-91590.487237851834</v>
      </c>
    </row>
    <row r="317" spans="1:3">
      <c r="A317" s="21">
        <v>538376</v>
      </c>
      <c r="B317" s="22">
        <v>636170.78602047381</v>
      </c>
      <c r="C317" s="22">
        <v>-97794.78602047381</v>
      </c>
    </row>
    <row r="318" spans="1:3">
      <c r="A318" s="21">
        <v>658920.30000000005</v>
      </c>
      <c r="B318" s="22">
        <v>766174.146773624</v>
      </c>
      <c r="C318" s="22">
        <v>-107253.84677362395</v>
      </c>
    </row>
    <row r="319" spans="1:3">
      <c r="A319" s="21">
        <v>415721.82</v>
      </c>
      <c r="B319" s="22">
        <v>524069.00854648044</v>
      </c>
      <c r="C319" s="22">
        <v>-108347.18854648044</v>
      </c>
    </row>
    <row r="320" spans="1:3">
      <c r="A320" s="21">
        <v>627171.9</v>
      </c>
      <c r="B320" s="22">
        <v>745648.36764166842</v>
      </c>
      <c r="C320" s="22">
        <v>-118476.46764166839</v>
      </c>
    </row>
    <row r="321" spans="1:3">
      <c r="A321" s="21">
        <v>641865.03</v>
      </c>
      <c r="B321" s="22">
        <v>761312.09412942757</v>
      </c>
      <c r="C321" s="22">
        <v>-119447.06412942754</v>
      </c>
    </row>
    <row r="322" spans="1:3">
      <c r="A322" s="21">
        <v>595467.6</v>
      </c>
      <c r="B322" s="22">
        <v>723282.19257888268</v>
      </c>
      <c r="C322" s="22">
        <v>-127814.5925788827</v>
      </c>
    </row>
    <row r="323" spans="1:3">
      <c r="A323" s="21">
        <v>685379.08</v>
      </c>
      <c r="B323" s="22">
        <v>834024.02674249269</v>
      </c>
      <c r="C323" s="22">
        <v>-148644.94674249273</v>
      </c>
    </row>
    <row r="324" spans="1:3" ht="15.75" thickBot="1">
      <c r="A324" s="14"/>
      <c r="B324" s="20"/>
      <c r="C324" s="20"/>
    </row>
  </sheetData>
  <sortState ref="A1:C322">
    <sortCondition descending="1" ref="C1:C32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1" sqref="D11"/>
    </sheetView>
  </sheetViews>
  <sheetFormatPr defaultRowHeight="15"/>
  <cols>
    <col min="1" max="1" width="32.140625" customWidth="1"/>
    <col min="2" max="2" width="20.140625" customWidth="1"/>
    <col min="3" max="3" width="80.7109375" customWidth="1"/>
    <col min="4" max="4" width="23.140625" customWidth="1"/>
    <col min="5" max="5" width="21.140625" customWidth="1"/>
    <col min="6" max="6" width="43.5703125" customWidth="1"/>
    <col min="7" max="7" width="42.7109375" customWidth="1"/>
  </cols>
  <sheetData>
    <row r="1" spans="1:7" ht="28.5">
      <c r="B1" s="15"/>
      <c r="C1" s="16" t="s">
        <v>143</v>
      </c>
      <c r="D1" s="17"/>
    </row>
    <row r="2" spans="1:7" ht="28.5">
      <c r="B2" s="15"/>
      <c r="C2" s="15"/>
    </row>
    <row r="3" spans="1:7" ht="30">
      <c r="A3" s="29" t="s">
        <v>145</v>
      </c>
      <c r="B3" s="30" t="s">
        <v>146</v>
      </c>
      <c r="C3" s="29" t="s">
        <v>147</v>
      </c>
      <c r="D3" s="31" t="s">
        <v>148</v>
      </c>
      <c r="E3" s="32" t="s">
        <v>149</v>
      </c>
      <c r="F3" s="29" t="s">
        <v>129</v>
      </c>
      <c r="G3" s="29" t="s">
        <v>150</v>
      </c>
    </row>
    <row r="4" spans="1:7" ht="52.5" customHeight="1">
      <c r="A4" t="s">
        <v>151</v>
      </c>
      <c r="B4" t="s">
        <v>130</v>
      </c>
      <c r="C4" t="s">
        <v>131</v>
      </c>
      <c r="D4">
        <v>0.16719999999999999</v>
      </c>
      <c r="E4" t="s">
        <v>131</v>
      </c>
      <c r="F4" t="s">
        <v>152</v>
      </c>
      <c r="G4" t="s">
        <v>153</v>
      </c>
    </row>
    <row r="5" spans="1:7" ht="59.25" customHeight="1">
      <c r="A5" t="s">
        <v>154</v>
      </c>
      <c r="B5" t="s">
        <v>130</v>
      </c>
      <c r="C5" t="s">
        <v>127</v>
      </c>
      <c r="D5">
        <v>0.73629999999999995</v>
      </c>
      <c r="E5" t="s">
        <v>127</v>
      </c>
      <c r="F5" t="s">
        <v>155</v>
      </c>
      <c r="G5" t="s">
        <v>156</v>
      </c>
    </row>
    <row r="6" spans="1:7" ht="45">
      <c r="A6" t="s">
        <v>132</v>
      </c>
      <c r="B6" t="s">
        <v>130</v>
      </c>
      <c r="C6" s="33" t="s">
        <v>157</v>
      </c>
      <c r="D6">
        <v>0.81659999999999999</v>
      </c>
      <c r="E6" t="s">
        <v>158</v>
      </c>
      <c r="F6" s="34" t="s">
        <v>159</v>
      </c>
      <c r="G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Dummy_Variables</vt:lpstr>
      <vt:lpstr>Simple_Regression_output</vt:lpstr>
      <vt:lpstr>Multiple_regression</vt:lpstr>
      <vt:lpstr>Predictions_Residuals</vt:lpstr>
      <vt:lpstr>regression_summary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2026-06-24T16:07:20Z</dcterms:created>
  <dcterms:modified xsi:type="dcterms:W3CDTF">2026-06-25T18:11:31Z</dcterms:modified>
</cp:coreProperties>
</file>